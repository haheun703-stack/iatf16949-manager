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평가결과" sheetId="2" state="visible" r:id="rId4"/>
    <sheet name="지적사항 종합" sheetId="3" state="visible" r:id="rId5"/>
    <sheet name="작성요령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<sst xmlns="http://schemas.openxmlformats.org/spreadsheetml/2006/main" count="216" uniqueCount="173">
  <si>
    <r>
      <rPr>
        <b val="true"/>
        <sz val="20"/>
        <rFont val="맑은 고딕"/>
        <family val="0"/>
        <charset val="1"/>
      </rPr>
      <t xml:space="preserve">SQ </t>
    </r>
    <r>
      <rPr>
        <b val="true"/>
        <sz val="20"/>
        <rFont val="Noto Sans CJK SC"/>
        <family val="2"/>
      </rPr>
      <t xml:space="preserve">자체 내부심사</t>
    </r>
    <r>
      <rPr>
        <b val="true"/>
        <sz val="20"/>
        <rFont val="맑은 고딕"/>
        <family val="0"/>
        <charset val="1"/>
      </rPr>
      <t xml:space="preserve">(</t>
    </r>
    <r>
      <rPr>
        <b val="true"/>
        <sz val="20"/>
        <rFont val="Noto Sans CJK SC"/>
        <family val="2"/>
      </rPr>
      <t xml:space="preserve">자체평가</t>
    </r>
    <r>
      <rPr>
        <b val="true"/>
        <sz val="20"/>
        <rFont val="맑은 고딕"/>
        <family val="0"/>
        <charset val="1"/>
      </rPr>
      <t xml:space="preserve">) </t>
    </r>
    <r>
      <rPr>
        <b val="true"/>
        <sz val="20"/>
        <rFont val="Noto Sans CJK SC"/>
        <family val="2"/>
      </rPr>
      <t xml:space="preserve">보고서</t>
    </r>
  </si>
  <si>
    <r>
      <rPr>
        <sz val="11"/>
        <color rgb="FF666666"/>
        <rFont val="맑은 고딕"/>
        <family val="0"/>
        <charset val="1"/>
      </rPr>
      <t xml:space="preserve">(</t>
    </r>
    <r>
      <rPr>
        <sz val="11"/>
        <color rgb="FF666666"/>
        <rFont val="Noto Sans CJK SC"/>
        <family val="2"/>
      </rPr>
      <t xml:space="preserve">브레이징용접 업종 </t>
    </r>
    <r>
      <rPr>
        <sz val="11"/>
        <color rgb="FF666666"/>
        <rFont val="맑은 고딕"/>
        <family val="0"/>
        <charset val="1"/>
      </rPr>
      <t xml:space="preserve">· HKMC SQ </t>
    </r>
    <r>
      <rPr>
        <sz val="11"/>
        <color rgb="FF666666"/>
        <rFont val="Noto Sans CJK SC"/>
        <family val="2"/>
      </rPr>
      <t xml:space="preserve">평가 </t>
    </r>
    <r>
      <rPr>
        <sz val="11"/>
        <color rgb="FF666666"/>
        <rFont val="맑은 고딕"/>
        <family val="0"/>
        <charset val="1"/>
      </rPr>
      <t xml:space="preserve">Ver4 </t>
    </r>
    <r>
      <rPr>
        <sz val="11"/>
        <color rgb="FF666666"/>
        <rFont val="Noto Sans CJK SC"/>
        <family val="2"/>
      </rPr>
      <t xml:space="preserve">기준 </t>
    </r>
    <r>
      <rPr>
        <sz val="11"/>
        <color rgb="FF666666"/>
        <rFont val="맑은 고딕"/>
        <family val="0"/>
        <charset val="1"/>
      </rPr>
      <t xml:space="preserve">· 42</t>
    </r>
    <r>
      <rPr>
        <sz val="11"/>
        <color rgb="FF666666"/>
        <rFont val="Noto Sans CJK SC"/>
        <family val="2"/>
      </rPr>
      <t xml:space="preserve">항목</t>
    </r>
    <r>
      <rPr>
        <sz val="11"/>
        <color rgb="FF666666"/>
        <rFont val="맑은 고딕"/>
        <family val="0"/>
        <charset val="1"/>
      </rPr>
      <t xml:space="preserve">/1,000</t>
    </r>
    <r>
      <rPr>
        <sz val="11"/>
        <color rgb="FF666666"/>
        <rFont val="Noto Sans CJK SC"/>
        <family val="2"/>
      </rPr>
      <t xml:space="preserve">점</t>
    </r>
    <r>
      <rPr>
        <sz val="11"/>
        <color rgb="FF666666"/>
        <rFont val="맑은 고딕"/>
        <family val="0"/>
        <charset val="1"/>
      </rPr>
      <t xml:space="preserve">)</t>
    </r>
  </si>
  <si>
    <t xml:space="preserve">평가 회차</t>
  </si>
  <si>
    <r>
      <rPr>
        <sz val="9"/>
        <rFont val="맑은 고딕"/>
        <family val="0"/>
        <charset val="1"/>
      </rPr>
      <t xml:space="preserve">SA-2026-H□ 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SA-2026-H1)</t>
    </r>
  </si>
  <si>
    <t xml:space="preserve">평가 구분</t>
  </si>
  <si>
    <r>
      <rPr>
        <sz val="9"/>
        <rFont val="Noto Sans CJK SC"/>
        <family val="2"/>
      </rPr>
      <t xml:space="preserve">정기 자체심사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수시</t>
    </r>
  </si>
  <si>
    <t xml:space="preserve">평가일</t>
  </si>
  <si>
    <t xml:space="preserve">평가 기준</t>
  </si>
  <si>
    <r>
      <rPr>
        <sz val="9"/>
        <rFont val="맑은 고딕"/>
        <family val="0"/>
        <charset val="1"/>
      </rPr>
      <t xml:space="preserve">HKMC SQ </t>
    </r>
    <r>
      <rPr>
        <sz val="9"/>
        <rFont val="Noto Sans CJK SC"/>
        <family val="2"/>
      </rPr>
      <t xml:space="preserve">평가서 </t>
    </r>
    <r>
      <rPr>
        <sz val="9"/>
        <rFont val="맑은 고딕"/>
        <family val="0"/>
        <charset val="1"/>
      </rPr>
      <t xml:space="preserve">Ver4</t>
    </r>
  </si>
  <si>
    <r>
      <rPr>
        <b val="true"/>
        <sz val="9"/>
        <rFont val="Noto Sans CJK SC"/>
        <family val="2"/>
      </rPr>
      <t xml:space="preserve">평가자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심사원</t>
    </r>
    <r>
      <rPr>
        <b val="true"/>
        <sz val="9"/>
        <rFont val="맑은 고딕"/>
        <family val="0"/>
        <charset val="1"/>
      </rPr>
      <t xml:space="preserve">)</t>
    </r>
  </si>
  <si>
    <t xml:space="preserve">피평가 부문</t>
  </si>
  <si>
    <r>
      <rPr>
        <sz val="9"/>
        <rFont val="Noto Sans CJK SC"/>
        <family val="2"/>
      </rPr>
      <t xml:space="preserve">전 부문 </t>
    </r>
    <r>
      <rPr>
        <sz val="9"/>
        <rFont val="맑은 고딕"/>
        <family val="0"/>
        <charset val="1"/>
      </rPr>
      <t xml:space="preserve">(6</t>
    </r>
    <r>
      <rPr>
        <sz val="9"/>
        <rFont val="Noto Sans CJK SC"/>
        <family val="2"/>
      </rPr>
      <t xml:space="preserve">개 영역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</si>
  <si>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입회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수행</t>
    </r>
  </si>
  <si>
    <t xml:space="preserve">차기 평가 예정</t>
  </si>
  <si>
    <t xml:space="preserve">■ 평가 결과 요약</t>
  </si>
  <si>
    <r>
      <rPr>
        <b val="true"/>
        <sz val="9"/>
        <rFont val="Noto Sans CJK SC"/>
        <family val="2"/>
      </rPr>
      <t xml:space="preserve">총점 </t>
    </r>
    <r>
      <rPr>
        <b val="true"/>
        <sz val="9"/>
        <rFont val="맑은 고딕"/>
        <family val="0"/>
        <charset val="1"/>
      </rPr>
      <t xml:space="preserve">(1,000</t>
    </r>
    <r>
      <rPr>
        <b val="true"/>
        <sz val="9"/>
        <rFont val="Noto Sans CJK SC"/>
        <family val="2"/>
      </rPr>
      <t xml:space="preserve">점 만점</t>
    </r>
    <r>
      <rPr>
        <b val="true"/>
        <sz val="9"/>
        <rFont val="맑은 고딕"/>
        <family val="0"/>
        <charset val="1"/>
      </rPr>
      <t xml:space="preserve">)</t>
    </r>
  </si>
  <si>
    <t xml:space="preserve">미해당 배점 합계</t>
  </si>
  <si>
    <r>
      <rPr>
        <b val="true"/>
        <sz val="9"/>
        <rFont val="Noto Sans CJK SC"/>
        <family val="2"/>
      </rPr>
      <t xml:space="preserve">환산 총점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미해당 제외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</si>
  <si>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등급 </t>
    </r>
    <r>
      <rPr>
        <b val="true"/>
        <sz val="9"/>
        <rFont val="맑은 고딕"/>
        <family val="0"/>
        <charset val="1"/>
      </rPr>
      <t xml:space="preserve">(S≥900 / G≥600 / </t>
    </r>
    <r>
      <rPr>
        <b val="true"/>
        <sz val="9"/>
        <rFont val="Noto Sans CJK SC"/>
        <family val="2"/>
      </rPr>
      <t xml:space="preserve">미만 불합격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</si>
  <si>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■ 종합 의견 </t>
    </r>
    <r>
      <rPr>
        <b val="true"/>
        <sz val="12"/>
        <rFont val="맑은 고딕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주요 문제점 </t>
    </r>
    <r>
      <rPr>
        <b val="true"/>
        <sz val="12"/>
        <rFont val="맑은 고딕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개선 방향</t>
    </r>
  </si>
  <si>
    <r>
      <rPr>
        <b val="true"/>
        <sz val="12"/>
        <rFont val="Noto Sans CJK SC"/>
        <family val="2"/>
      </rPr>
      <t xml:space="preserve">■ 보고 및 결재 </t>
    </r>
    <r>
      <rPr>
        <b val="true"/>
        <sz val="12"/>
        <rFont val="맑은 고딕"/>
        <family val="0"/>
        <charset val="1"/>
      </rPr>
      <t xml:space="preserve">(SQ 6_4: </t>
    </r>
    <r>
      <rPr>
        <b val="true"/>
        <sz val="12"/>
        <rFont val="Noto Sans CJK SC"/>
        <family val="2"/>
      </rPr>
      <t xml:space="preserve">자체 내부심사 결과 경영자</t>
    </r>
    <r>
      <rPr>
        <b val="true"/>
        <sz val="12"/>
        <rFont val="맑은 고딕"/>
        <family val="0"/>
        <charset val="1"/>
      </rPr>
      <t xml:space="preserve">/</t>
    </r>
    <r>
      <rPr>
        <b val="true"/>
        <sz val="12"/>
        <rFont val="Noto Sans CJK SC"/>
        <family val="2"/>
      </rPr>
      <t xml:space="preserve">임원 보고 증빙</t>
    </r>
    <r>
      <rPr>
        <b val="true"/>
        <sz val="12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</si>
  <si>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작성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심사원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</si>
  <si>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검토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품질책임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</si>
  <si>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승인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대표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임원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</si>
  <si>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8"/>
        <color rgb="FF555555"/>
        <rFont val="Noto Sans CJK SC"/>
        <family val="2"/>
      </rPr>
      <t xml:space="preserve">※ 승인</t>
    </r>
    <r>
      <rPr>
        <sz val="8"/>
        <color rgb="FF555555"/>
        <rFont val="맑은 고딕"/>
        <family val="0"/>
        <charset val="1"/>
      </rPr>
      <t xml:space="preserve">(</t>
    </r>
    <r>
      <rPr>
        <sz val="8"/>
        <color rgb="FF555555"/>
        <rFont val="Noto Sans CJK SC"/>
        <family val="2"/>
      </rPr>
      <t xml:space="preserve">보고</t>
    </r>
    <r>
      <rPr>
        <sz val="8"/>
        <color rgb="FF555555"/>
        <rFont val="맑은 고딕"/>
        <family val="0"/>
        <charset val="1"/>
      </rPr>
      <t xml:space="preserve">)</t>
    </r>
    <r>
      <rPr>
        <sz val="8"/>
        <color rgb="FF555555"/>
        <rFont val="Noto Sans CJK SC"/>
        <family val="2"/>
      </rPr>
      <t xml:space="preserve">일자와 후속 개선활동 이력은 </t>
    </r>
    <r>
      <rPr>
        <sz val="8"/>
        <color rgb="FF555555"/>
        <rFont val="맑은 고딕"/>
        <family val="0"/>
        <charset val="1"/>
      </rPr>
      <t xml:space="preserve">6_4 </t>
    </r>
    <r>
      <rPr>
        <sz val="8"/>
        <color rgb="FF555555"/>
        <rFont val="Noto Sans CJK SC"/>
        <family val="2"/>
      </rPr>
      <t xml:space="preserve">항목의 증빙물로 보존</t>
    </r>
    <r>
      <rPr>
        <sz val="8"/>
        <color rgb="FF555555"/>
        <rFont val="맑은 고딕"/>
        <family val="0"/>
        <charset val="1"/>
      </rPr>
      <t xml:space="preserve">(3</t>
    </r>
    <r>
      <rPr>
        <sz val="8"/>
        <color rgb="FF555555"/>
        <rFont val="Noto Sans CJK SC"/>
        <family val="2"/>
      </rPr>
      <t xml:space="preserve">년</t>
    </r>
    <r>
      <rPr>
        <sz val="8"/>
        <color rgb="FF555555"/>
        <rFont val="맑은 고딕"/>
        <family val="0"/>
        <charset val="1"/>
      </rPr>
      <t xml:space="preserve">). </t>
    </r>
    <r>
      <rPr>
        <sz val="8"/>
        <color rgb="FF555555"/>
        <rFont val="Noto Sans CJK SC"/>
        <family val="2"/>
      </rPr>
      <t xml:space="preserve">지적사항의 개선과제는 「지적사항 종합」 시트 및 시정조치 대장과 연계</t>
    </r>
    <r>
      <rPr>
        <sz val="8"/>
        <color rgb="FF555555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</si>
  <si>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SQ </t>
    </r>
    <r>
      <rPr>
        <b val="true"/>
        <sz val="14"/>
        <rFont val="Noto Sans CJK SC"/>
        <family val="2"/>
      </rPr>
      <t xml:space="preserve">자체평가 결과표 </t>
    </r>
    <r>
      <rPr>
        <b val="true"/>
        <sz val="14"/>
        <rFont val="맑은 고딕"/>
        <family val="0"/>
        <charset val="1"/>
      </rPr>
      <t xml:space="preserve">(Ver4 · 42</t>
    </r>
    <r>
      <rPr>
        <b val="true"/>
        <sz val="14"/>
        <rFont val="Noto Sans CJK SC"/>
        <family val="2"/>
      </rPr>
      <t xml:space="preserve">항목</t>
    </r>
    <r>
      <rPr>
        <b val="true"/>
        <sz val="14"/>
        <rFont val="맑은 고딕"/>
        <family val="0"/>
        <charset val="1"/>
      </rPr>
      <t xml:space="preserve">)</t>
    </r>
  </si>
  <si>
    <r>
      <rPr>
        <sz val="8"/>
        <color rgb="FF555555"/>
        <rFont val="Noto Sans CJK SC"/>
        <family val="2"/>
      </rPr>
      <t xml:space="preserve">이행상태는 드롭다운 </t>
    </r>
    <r>
      <rPr>
        <sz val="8"/>
        <color rgb="FF555555"/>
        <rFont val="맑은 고딕"/>
        <family val="0"/>
        <charset val="1"/>
      </rPr>
      <t xml:space="preserve">6</t>
    </r>
    <r>
      <rPr>
        <sz val="8"/>
        <color rgb="FF555555"/>
        <rFont val="Noto Sans CJK SC"/>
        <family val="2"/>
      </rPr>
      <t xml:space="preserve">단계</t>
    </r>
    <r>
      <rPr>
        <sz val="8"/>
        <color rgb="FF555555"/>
        <rFont val="맑은 고딕"/>
        <family val="0"/>
        <charset val="1"/>
      </rPr>
      <t xml:space="preserve">+</t>
    </r>
    <r>
      <rPr>
        <sz val="8"/>
        <color rgb="FF555555"/>
        <rFont val="Noto Sans CJK SC"/>
        <family val="2"/>
      </rPr>
      <t xml:space="preserve">미해당만 입력 가능</t>
    </r>
    <r>
      <rPr>
        <sz val="8"/>
        <color rgb="FF555555"/>
        <rFont val="맑은 고딕"/>
        <family val="0"/>
        <charset val="1"/>
      </rPr>
      <t xml:space="preserve">. </t>
    </r>
    <r>
      <rPr>
        <sz val="8"/>
        <color rgb="FF555555"/>
        <rFont val="Noto Sans CJK SC"/>
        <family val="2"/>
      </rPr>
      <t xml:space="preserve">평가점수 자동계산</t>
    </r>
    <r>
      <rPr>
        <sz val="8"/>
        <color rgb="FF555555"/>
        <rFont val="맑은 고딕"/>
        <family val="0"/>
        <charset val="1"/>
      </rPr>
      <t xml:space="preserve">(</t>
    </r>
    <r>
      <rPr>
        <sz val="8"/>
        <color rgb="FF555555"/>
        <rFont val="Noto Sans CJK SC"/>
        <family val="2"/>
      </rPr>
      <t xml:space="preserve">우수</t>
    </r>
    <r>
      <rPr>
        <sz val="8"/>
        <color rgb="FF555555"/>
        <rFont val="맑은 고딕"/>
        <family val="0"/>
        <charset val="1"/>
      </rPr>
      <t xml:space="preserve">×1.0/</t>
    </r>
    <r>
      <rPr>
        <sz val="8"/>
        <color rgb="FF555555"/>
        <rFont val="Noto Sans CJK SC"/>
        <family val="2"/>
      </rPr>
      <t xml:space="preserve">양호</t>
    </r>
    <r>
      <rPr>
        <sz val="8"/>
        <color rgb="FF555555"/>
        <rFont val="맑은 고딕"/>
        <family val="0"/>
        <charset val="1"/>
      </rPr>
      <t xml:space="preserve">×0.8/</t>
    </r>
    <r>
      <rPr>
        <sz val="8"/>
        <color rgb="FF555555"/>
        <rFont val="Noto Sans CJK SC"/>
        <family val="2"/>
      </rPr>
      <t xml:space="preserve">보완</t>
    </r>
    <r>
      <rPr>
        <sz val="8"/>
        <color rgb="FF555555"/>
        <rFont val="맑은 고딕"/>
        <family val="0"/>
        <charset val="1"/>
      </rPr>
      <t xml:space="preserve">×0.6/</t>
    </r>
    <r>
      <rPr>
        <sz val="8"/>
        <color rgb="FF555555"/>
        <rFont val="Noto Sans CJK SC"/>
        <family val="2"/>
      </rPr>
      <t xml:space="preserve">일부미흡</t>
    </r>
    <r>
      <rPr>
        <sz val="8"/>
        <color rgb="FF555555"/>
        <rFont val="맑은 고딕"/>
        <family val="0"/>
        <charset val="1"/>
      </rPr>
      <t xml:space="preserve">×0.5/</t>
    </r>
    <r>
      <rPr>
        <sz val="8"/>
        <color rgb="FF555555"/>
        <rFont val="Noto Sans CJK SC"/>
        <family val="2"/>
      </rPr>
      <t xml:space="preserve">다수미흡</t>
    </r>
    <r>
      <rPr>
        <sz val="8"/>
        <color rgb="FF555555"/>
        <rFont val="맑은 고딕"/>
        <family val="0"/>
        <charset val="1"/>
      </rPr>
      <t xml:space="preserve">×0.25/</t>
    </r>
    <r>
      <rPr>
        <sz val="8"/>
        <color rgb="FF555555"/>
        <rFont val="Noto Sans CJK SC"/>
        <family val="2"/>
      </rPr>
      <t xml:space="preserve">미관리</t>
    </r>
    <r>
      <rPr>
        <sz val="8"/>
        <color rgb="FF555555"/>
        <rFont val="맑은 고딕"/>
        <family val="0"/>
        <charset val="1"/>
      </rPr>
      <t xml:space="preserve">·</t>
    </r>
    <r>
      <rPr>
        <sz val="8"/>
        <color rgb="FF555555"/>
        <rFont val="Noto Sans CJK SC"/>
        <family val="2"/>
      </rPr>
      <t xml:space="preserve">미해당</t>
    </r>
    <r>
      <rPr>
        <sz val="8"/>
        <color rgb="FF555555"/>
        <rFont val="맑은 고딕"/>
        <family val="0"/>
        <charset val="1"/>
      </rPr>
      <t xml:space="preserve">×0). </t>
    </r>
    <r>
      <rPr>
        <sz val="8"/>
        <color rgb="FF555555"/>
        <rFont val="Noto Sans CJK SC"/>
        <family val="2"/>
      </rPr>
      <t xml:space="preserve">일부미흡 이하 확정 시 관찰사항에 </t>
    </r>
    <r>
      <rPr>
        <sz val="8"/>
        <color rgb="FF555555"/>
        <rFont val="맑은 고딕"/>
        <family val="0"/>
        <charset val="1"/>
      </rPr>
      <t xml:space="preserve">[</t>
    </r>
    <r>
      <rPr>
        <sz val="8"/>
        <color rgb="FF555555"/>
        <rFont val="Noto Sans CJK SC"/>
        <family val="2"/>
      </rPr>
      <t xml:space="preserve">대책수립 요청</t>
    </r>
    <r>
      <rPr>
        <sz val="8"/>
        <color rgb="FF555555"/>
        <rFont val="맑은 고딕"/>
        <family val="0"/>
        <charset val="1"/>
      </rPr>
      <t xml:space="preserve">] </t>
    </r>
    <r>
      <rPr>
        <sz val="8"/>
        <color rgb="FF555555"/>
        <rFont val="Noto Sans CJK SC"/>
        <family val="2"/>
      </rPr>
      <t xml:space="preserve">기재</t>
    </r>
    <r>
      <rPr>
        <sz val="8"/>
        <color rgb="FF555555"/>
        <rFont val="맑은 고딕"/>
        <family val="0"/>
        <charset val="1"/>
      </rPr>
      <t xml:space="preserve">, </t>
    </r>
    <r>
      <rPr>
        <sz val="8"/>
        <color rgb="FF555555"/>
        <rFont val="Noto Sans CJK SC"/>
        <family val="2"/>
      </rPr>
      <t xml:space="preserve">우수는 선정사유 필수</t>
    </r>
    <r>
      <rPr>
        <sz val="8"/>
        <color rgb="FF555555"/>
        <rFont val="맑은 고딕"/>
        <family val="0"/>
        <charset val="1"/>
      </rPr>
      <t xml:space="preserve">. </t>
    </r>
    <r>
      <rPr>
        <sz val="8"/>
        <color rgb="FF555555"/>
        <rFont val="Noto Sans CJK SC"/>
        <family val="2"/>
      </rPr>
      <t xml:space="preserve">미해당은 </t>
    </r>
    <r>
      <rPr>
        <sz val="8"/>
        <color rgb="FF555555"/>
        <rFont val="맑은 고딕"/>
        <family val="0"/>
        <charset val="1"/>
      </rPr>
      <t xml:space="preserve">4_x(</t>
    </r>
    <r>
      <rPr>
        <sz val="8"/>
        <color rgb="FF555555"/>
        <rFont val="Noto Sans CJK SC"/>
        <family val="2"/>
      </rPr>
      <t xml:space="preserve">자체 프레스 공정 없음</t>
    </r>
    <r>
      <rPr>
        <sz val="8"/>
        <color rgb="FF555555"/>
        <rFont val="맑은 고딕"/>
        <family val="0"/>
        <charset val="1"/>
      </rPr>
      <t xml:space="preserve">) </t>
    </r>
    <r>
      <rPr>
        <sz val="8"/>
        <color rgb="FF555555"/>
        <rFont val="Noto Sans CJK SC"/>
        <family val="2"/>
      </rPr>
      <t xml:space="preserve">등 근거 있는 항목만</t>
    </r>
    <r>
      <rPr>
        <sz val="8"/>
        <color rgb="FF555555"/>
        <rFont val="맑은 고딕"/>
        <family val="0"/>
        <charset val="1"/>
      </rPr>
      <t xml:space="preserve">.</t>
    </r>
  </si>
  <si>
    <t xml:space="preserve">No</t>
  </si>
  <si>
    <t xml:space="preserve">영역</t>
  </si>
  <si>
    <t xml:space="preserve">평가항목</t>
  </si>
  <si>
    <t xml:space="preserve">배점</t>
  </si>
  <si>
    <r>
      <rPr>
        <b val="true"/>
        <sz val="9"/>
        <rFont val="Noto Sans CJK SC"/>
        <family val="2"/>
      </rPr>
      <t xml:space="preserve">제안 상태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프로그램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</si>
  <si>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이행상태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확정 ▼</t>
    </r>
    <r>
      <rPr>
        <b val="true"/>
        <sz val="9"/>
        <rFont val="맑은 고딕"/>
        <family val="0"/>
        <charset val="1"/>
      </rPr>
      <t xml:space="preserve">)</t>
    </r>
  </si>
  <si>
    <t xml:space="preserve">평가점수</t>
  </si>
  <si>
    <t xml:space="preserve">지적 및 관찰사항</t>
  </si>
  <si>
    <t xml:space="preserve">추가 지적사항</t>
  </si>
  <si>
    <r>
      <rPr>
        <b val="true"/>
        <sz val="9"/>
        <rFont val="Noto Sans CJK SC"/>
        <family val="2"/>
      </rPr>
      <t xml:space="preserve">개선과제
</t>
    </r>
    <r>
      <rPr>
        <b val="true"/>
        <sz val="9"/>
        <rFont val="맑은 고딕"/>
        <family val="0"/>
        <charset val="1"/>
      </rPr>
      <t xml:space="preserve">No.</t>
    </r>
  </si>
  <si>
    <t xml:space="preserve">1_1</t>
  </si>
  <si>
    <t xml:space="preserve">생산조건관리</t>
  </si>
  <si>
    <t xml:space="preserve">표준류 작성 및 준수상태</t>
  </si>
  <si>
    <t xml:space="preserve">1_2</t>
  </si>
  <si>
    <r>
      <rPr>
        <sz val="9"/>
        <rFont val="Noto Sans CJK SC"/>
        <family val="2"/>
      </rPr>
      <t xml:space="preserve">설비 가동중단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계획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비계획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후 재가동 절차</t>
    </r>
  </si>
  <si>
    <t xml:space="preserve">1_3</t>
  </si>
  <si>
    <t xml:space="preserve">외국인 배치공정 현지어 표준류</t>
  </si>
  <si>
    <t xml:space="preserve">1_4</t>
  </si>
  <si>
    <t xml:space="preserve">품질관리 취약 시간대 관리</t>
  </si>
  <si>
    <t xml:space="preserve">1_5</t>
  </si>
  <si>
    <t xml:space="preserve">주요조건 기준수립 및 현장 비교검증</t>
  </si>
  <si>
    <t xml:space="preserve">◈</t>
  </si>
  <si>
    <t xml:space="preserve">생산조건관리 소계</t>
  </si>
  <si>
    <t xml:space="preserve">2_1</t>
  </si>
  <si>
    <t xml:space="preserve">검사시험</t>
  </si>
  <si>
    <t xml:space="preserve">수입검사 실시기준 수립 및 준수상태</t>
  </si>
  <si>
    <t xml:space="preserve">2_2</t>
  </si>
  <si>
    <r>
      <rPr>
        <sz val="9"/>
        <rFont val="Noto Sans CJK SC"/>
        <family val="2"/>
      </rPr>
      <t xml:space="preserve">수입검사 누락방지 절차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마스터 대장</t>
    </r>
    <r>
      <rPr>
        <sz val="9"/>
        <rFont val="맑은 고딕"/>
        <family val="0"/>
        <charset val="1"/>
      </rPr>
      <t xml:space="preserve">)</t>
    </r>
  </si>
  <si>
    <t xml:space="preserve">2_3</t>
  </si>
  <si>
    <r>
      <rPr>
        <sz val="9"/>
        <rFont val="Noto Sans CJK SC"/>
        <family val="2"/>
      </rPr>
      <t xml:space="preserve">검사용 마스터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한도견본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관리</t>
    </r>
  </si>
  <si>
    <t xml:space="preserve">2_4</t>
  </si>
  <si>
    <r>
      <rPr>
        <sz val="9"/>
        <rFont val="Noto Sans CJK SC"/>
        <family val="2"/>
      </rPr>
      <t xml:space="preserve">정기검사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신뢰성 시험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실시계획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준수</t>
    </r>
  </si>
  <si>
    <t xml:space="preserve">2_5</t>
  </si>
  <si>
    <r>
      <rPr>
        <sz val="9"/>
        <rFont val="Noto Sans CJK SC"/>
        <family val="2"/>
      </rPr>
      <t xml:space="preserve">계측기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검사구 보유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검교정</t>
    </r>
  </si>
  <si>
    <t xml:space="preserve">2_6</t>
  </si>
  <si>
    <r>
      <rPr>
        <sz val="9"/>
        <rFont val="Noto Sans CJK SC"/>
        <family val="2"/>
      </rPr>
      <t xml:space="preserve">게이지 </t>
    </r>
    <r>
      <rPr>
        <sz val="9"/>
        <rFont val="맑은 고딕"/>
        <family val="0"/>
        <charset val="1"/>
      </rPr>
      <t xml:space="preserve">R&amp;R</t>
    </r>
  </si>
  <si>
    <t xml:space="preserve">2_7</t>
  </si>
  <si>
    <r>
      <rPr>
        <sz val="9"/>
        <rFont val="Noto Sans CJK SC"/>
        <family val="2"/>
      </rPr>
      <t xml:space="preserve">자주검사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순회검사 기준</t>
    </r>
    <r>
      <rPr>
        <sz val="9"/>
        <rFont val="맑은 고딕"/>
        <family val="0"/>
        <charset val="1"/>
      </rPr>
      <t xml:space="preserve">·DATA </t>
    </r>
    <r>
      <rPr>
        <sz val="9"/>
        <rFont val="Noto Sans CJK SC"/>
        <family val="2"/>
      </rPr>
      <t xml:space="preserve">관리</t>
    </r>
  </si>
  <si>
    <t xml:space="preserve">2_8</t>
  </si>
  <si>
    <r>
      <rPr>
        <sz val="9"/>
        <rFont val="Noto Sans CJK SC"/>
        <family val="2"/>
      </rPr>
      <t xml:space="preserve">완제품 검사 기준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준수</t>
    </r>
  </si>
  <si>
    <t xml:space="preserve">2_9</t>
  </si>
  <si>
    <r>
      <rPr>
        <sz val="9"/>
        <rFont val="Noto Sans CJK SC"/>
        <family val="2"/>
      </rPr>
      <t xml:space="preserve">리워크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후공정 검출불가 항목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리크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용접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관리</t>
    </r>
  </si>
  <si>
    <t xml:space="preserve">검사시험 소계</t>
  </si>
  <si>
    <t xml:space="preserve">3_1</t>
  </si>
  <si>
    <t xml:space="preserve">설비관리</t>
  </si>
  <si>
    <t xml:space="preserve">설비 일상점검 절차</t>
  </si>
  <si>
    <t xml:space="preserve">3_2</t>
  </si>
  <si>
    <t xml:space="preserve">설비 정기점검 절차</t>
  </si>
  <si>
    <t xml:space="preserve">3_3</t>
  </si>
  <si>
    <r>
      <rPr>
        <sz val="9"/>
        <rFont val="Noto Sans CJK SC"/>
        <family val="2"/>
      </rPr>
      <t xml:space="preserve">용접공정 제품안착</t>
    </r>
    <r>
      <rPr>
        <sz val="9"/>
        <rFont val="맑은 고딕"/>
        <family val="0"/>
        <charset val="1"/>
      </rPr>
      <t xml:space="preserve">·JIG </t>
    </r>
    <r>
      <rPr>
        <sz val="9"/>
        <rFont val="Noto Sans CJK SC"/>
        <family val="2"/>
      </rPr>
      <t xml:space="preserve">기준핀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기준면 점검</t>
    </r>
  </si>
  <si>
    <t xml:space="preserve">3_4</t>
  </si>
  <si>
    <r>
      <rPr>
        <sz val="9"/>
        <rFont val="Noto Sans CJK SC"/>
        <family val="2"/>
      </rPr>
      <t xml:space="preserve">작업전 설비 일상점검 항목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용접 특화</t>
    </r>
    <r>
      <rPr>
        <sz val="9"/>
        <rFont val="맑은 고딕"/>
        <family val="0"/>
        <charset val="1"/>
      </rPr>
      <t xml:space="preserve">)</t>
    </r>
  </si>
  <si>
    <t xml:space="preserve">3_5</t>
  </si>
  <si>
    <t xml:space="preserve">브레이징 로 점검 항목</t>
  </si>
  <si>
    <t xml:space="preserve">3_6</t>
  </si>
  <si>
    <r>
      <rPr>
        <sz val="9"/>
        <rFont val="Noto Sans CJK SC"/>
        <family val="2"/>
      </rPr>
      <t xml:space="preserve">전극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가스잔량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냉각수 </t>
    </r>
    <r>
      <rPr>
        <sz val="9"/>
        <rFont val="맑은 고딕"/>
        <family val="0"/>
        <charset val="1"/>
      </rPr>
      <t xml:space="preserve">F/PROOF</t>
    </r>
  </si>
  <si>
    <t xml:space="preserve">3_7</t>
  </si>
  <si>
    <r>
      <rPr>
        <sz val="9"/>
        <rFont val="Noto Sans CJK SC"/>
        <family val="2"/>
      </rPr>
      <t xml:space="preserve">용접 지그 점검주기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관리</t>
    </r>
  </si>
  <si>
    <t xml:space="preserve">설비관리 소계</t>
  </si>
  <si>
    <t xml:space="preserve">4_1</t>
  </si>
  <si>
    <t xml:space="preserve">금형관리</t>
  </si>
  <si>
    <r>
      <rPr>
        <sz val="9"/>
        <rFont val="Noto Sans CJK SC"/>
        <family val="2"/>
      </rPr>
      <t xml:space="preserve">금형 일상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정기점검</t>
    </r>
  </si>
  <si>
    <t xml:space="preserve">4_2</t>
  </si>
  <si>
    <t xml:space="preserve">금형 세척관리</t>
  </si>
  <si>
    <t xml:space="preserve">4_3</t>
  </si>
  <si>
    <t xml:space="preserve">금형 보전</t>
  </si>
  <si>
    <t xml:space="preserve">4_4</t>
  </si>
  <si>
    <t xml:space="preserve">금형 보관</t>
  </si>
  <si>
    <t xml:space="preserve">4_5</t>
  </si>
  <si>
    <t xml:space="preserve">금형 이관</t>
  </si>
  <si>
    <t xml:space="preserve">금형관리 소계</t>
  </si>
  <si>
    <t xml:space="preserve">5_1</t>
  </si>
  <si>
    <t xml:space="preserve">자재관리</t>
  </si>
  <si>
    <r>
      <rPr>
        <sz val="9"/>
        <rFont val="맑은 고딕"/>
        <family val="0"/>
        <charset val="1"/>
      </rPr>
      <t xml:space="preserve">LOT </t>
    </r>
    <r>
      <rPr>
        <sz val="9"/>
        <rFont val="Noto Sans CJK SC"/>
        <family val="2"/>
      </rPr>
      <t xml:space="preserve">추적성 관리</t>
    </r>
  </si>
  <si>
    <t xml:space="preserve">5_2</t>
  </si>
  <si>
    <t xml:space="preserve">수입자재 보관장 관리</t>
  </si>
  <si>
    <t xml:space="preserve">5_3</t>
  </si>
  <si>
    <t xml:space="preserve">입고품 식별관리</t>
  </si>
  <si>
    <t xml:space="preserve">5_4</t>
  </si>
  <si>
    <r>
      <rPr>
        <sz val="9"/>
        <rFont val="Noto Sans CJK SC"/>
        <family val="2"/>
      </rPr>
      <t xml:space="preserve">재공품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완제품 용기 표준화</t>
    </r>
  </si>
  <si>
    <t xml:space="preserve">자재관리 소계</t>
  </si>
  <si>
    <t xml:space="preserve">6_1</t>
  </si>
  <si>
    <t xml:space="preserve">품질경영체제</t>
  </si>
  <si>
    <t xml:space="preserve">안전사고 예방 프로세스</t>
  </si>
  <si>
    <t xml:space="preserve">6_2</t>
  </si>
  <si>
    <r>
      <rPr>
        <sz val="9"/>
        <rFont val="Noto Sans CJK SC"/>
        <family val="2"/>
      </rPr>
      <t xml:space="preserve">설계변경</t>
    </r>
    <r>
      <rPr>
        <sz val="9"/>
        <rFont val="맑은 고딕"/>
        <family val="0"/>
        <charset val="1"/>
      </rPr>
      <t xml:space="preserve">·4M </t>
    </r>
    <r>
      <rPr>
        <sz val="9"/>
        <rFont val="Noto Sans CJK SC"/>
        <family val="2"/>
      </rPr>
      <t xml:space="preserve">변경 처리</t>
    </r>
  </si>
  <si>
    <t xml:space="preserve">6_3</t>
  </si>
  <si>
    <r>
      <rPr>
        <sz val="9"/>
        <rFont val="Noto Sans CJK SC"/>
        <family val="2"/>
      </rPr>
      <t xml:space="preserve">도면 일치성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검사협정</t>
    </r>
  </si>
  <si>
    <t xml:space="preserve">6_4</t>
  </si>
  <si>
    <r>
      <rPr>
        <sz val="9"/>
        <rFont val="Noto Sans CJK SC"/>
        <family val="2"/>
      </rPr>
      <t xml:space="preserve">품질경영 조직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내부심사</t>
    </r>
  </si>
  <si>
    <t xml:space="preserve">6_5</t>
  </si>
  <si>
    <t xml:space="preserve">자격인증 관리</t>
  </si>
  <si>
    <t xml:space="preserve">6_6</t>
  </si>
  <si>
    <r>
      <rPr>
        <sz val="9"/>
        <rFont val="Noto Sans CJK SC"/>
        <family val="2"/>
      </rPr>
      <t xml:space="preserve">부적합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품 격리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식별</t>
    </r>
  </si>
  <si>
    <t xml:space="preserve">6_7</t>
  </si>
  <si>
    <r>
      <rPr>
        <sz val="9"/>
        <rFont val="Noto Sans CJK SC"/>
        <family val="2"/>
      </rPr>
      <t xml:space="preserve">품질실적 점검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개선</t>
    </r>
  </si>
  <si>
    <t xml:space="preserve">6_8</t>
  </si>
  <si>
    <t xml:space="preserve">조도관리</t>
  </si>
  <si>
    <t xml:space="preserve">6_9</t>
  </si>
  <si>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정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행 관리</t>
    </r>
  </si>
  <si>
    <t xml:space="preserve">6_10</t>
  </si>
  <si>
    <r>
      <rPr>
        <sz val="9"/>
        <rFont val="Noto Sans CJK SC"/>
        <family val="2"/>
      </rPr>
      <t xml:space="preserve">불량부품 </t>
    </r>
    <r>
      <rPr>
        <sz val="9"/>
        <rFont val="맑은 고딕"/>
        <family val="0"/>
        <charset val="1"/>
      </rPr>
      <t xml:space="preserve">REWORK </t>
    </r>
    <r>
      <rPr>
        <sz val="9"/>
        <rFont val="Noto Sans CJK SC"/>
        <family val="2"/>
      </rPr>
      <t xml:space="preserve">관리</t>
    </r>
  </si>
  <si>
    <t xml:space="preserve">6_11</t>
  </si>
  <si>
    <t xml:space="preserve">공정 누락 방지 작업환경</t>
  </si>
  <si>
    <t xml:space="preserve">6_12</t>
  </si>
  <si>
    <t xml:space="preserve">정성품질 운영</t>
  </si>
  <si>
    <t xml:space="preserve">품질경영체제 소계</t>
  </si>
  <si>
    <t xml:space="preserve">★</t>
  </si>
  <si>
    <r>
      <rPr>
        <b val="true"/>
        <sz val="9"/>
        <rFont val="Noto Sans CJK SC"/>
        <family val="2"/>
      </rPr>
      <t xml:space="preserve">평가결과 종합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원점수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</si>
  <si>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확정 항목 수 </t>
    </r>
    <r>
      <rPr>
        <b val="true"/>
        <sz val="9"/>
        <rFont val="맑은 고딕"/>
        <family val="0"/>
        <charset val="1"/>
      </rPr>
      <t xml:space="preserve">(42 </t>
    </r>
    <r>
      <rPr>
        <b val="true"/>
        <sz val="9"/>
        <rFont val="Noto Sans CJK SC"/>
        <family val="2"/>
      </rPr>
      <t xml:space="preserve">필요</t>
    </r>
    <r>
      <rPr>
        <b val="true"/>
        <sz val="9"/>
        <rFont val="맑은 고딕"/>
        <family val="0"/>
        <charset val="1"/>
      </rPr>
      <t xml:space="preserve">)</t>
    </r>
  </si>
  <si>
    <t xml:space="preserve">환산 총점</t>
  </si>
  <si>
    <t xml:space="preserve">등급</t>
  </si>
  <si>
    <r>
      <rPr>
        <sz val="8"/>
        <color rgb="FF555555"/>
        <rFont val="Noto Sans CJK SC"/>
        <family val="2"/>
      </rPr>
      <t xml:space="preserve">※ 환산 총점 </t>
    </r>
    <r>
      <rPr>
        <sz val="8"/>
        <color rgb="FF555555"/>
        <rFont val="맑은 고딕"/>
        <family val="0"/>
        <charset val="1"/>
      </rPr>
      <t xml:space="preserve">= </t>
    </r>
    <r>
      <rPr>
        <sz val="8"/>
        <color rgb="FF555555"/>
        <rFont val="Noto Sans CJK SC"/>
        <family val="2"/>
      </rPr>
      <t xml:space="preserve">원점수 </t>
    </r>
    <r>
      <rPr>
        <sz val="8"/>
        <color rgb="FF555555"/>
        <rFont val="맑은 고딕"/>
        <family val="0"/>
        <charset val="1"/>
      </rPr>
      <t xml:space="preserve">÷ (1000 - </t>
    </r>
    <r>
      <rPr>
        <sz val="8"/>
        <color rgb="FF555555"/>
        <rFont val="Noto Sans CJK SC"/>
        <family val="2"/>
      </rPr>
      <t xml:space="preserve">미해당 배점</t>
    </r>
    <r>
      <rPr>
        <sz val="8"/>
        <color rgb="FF555555"/>
        <rFont val="맑은 고딕"/>
        <family val="0"/>
        <charset val="1"/>
      </rPr>
      <t xml:space="preserve">) × 1000 [</t>
    </r>
    <r>
      <rPr>
        <sz val="8"/>
        <color rgb="FF555555"/>
        <rFont val="Noto Sans CJK SC"/>
        <family val="2"/>
      </rPr>
      <t xml:space="preserve">지시서 모드① — </t>
    </r>
    <r>
      <rPr>
        <sz val="8"/>
        <color rgb="FF555555"/>
        <rFont val="맑은 고딕"/>
        <family val="0"/>
        <charset val="1"/>
      </rPr>
      <t xml:space="preserve">HKMC </t>
    </r>
    <r>
      <rPr>
        <sz val="8"/>
        <color rgb="FF555555"/>
        <rFont val="Noto Sans CJK SC"/>
        <family val="2"/>
      </rPr>
      <t xml:space="preserve">원본 </t>
    </r>
    <r>
      <rPr>
        <sz val="8"/>
        <color rgb="FF555555"/>
        <rFont val="맑은 고딕"/>
        <family val="0"/>
        <charset val="1"/>
      </rPr>
      <t xml:space="preserve">xlsm</t>
    </r>
    <r>
      <rPr>
        <sz val="8"/>
        <color rgb="FF555555"/>
        <rFont val="Noto Sans CJK SC"/>
        <family val="2"/>
      </rPr>
      <t xml:space="preserve">의 미해당 환산 규칙 확정 시 조정</t>
    </r>
    <r>
      <rPr>
        <sz val="8"/>
        <color rgb="FF555555"/>
        <rFont val="맑은 고딕"/>
        <family val="0"/>
        <charset val="1"/>
      </rPr>
      <t xml:space="preserve">]. </t>
    </r>
    <r>
      <rPr>
        <sz val="8"/>
        <color rgb="FF555555"/>
        <rFont val="Noto Sans CJK SC"/>
        <family val="2"/>
      </rPr>
      <t xml:space="preserve">등급은 </t>
    </r>
    <r>
      <rPr>
        <sz val="8"/>
        <color rgb="FF555555"/>
        <rFont val="맑은 고딕"/>
        <family val="0"/>
        <charset val="1"/>
      </rPr>
      <t xml:space="preserve">42</t>
    </r>
    <r>
      <rPr>
        <sz val="8"/>
        <color rgb="FF555555"/>
        <rFont val="Noto Sans CJK SC"/>
        <family val="2"/>
      </rPr>
      <t xml:space="preserve">항목 전부 확정 시에만 표시</t>
    </r>
    <r>
      <rPr>
        <sz val="8"/>
        <color rgb="FF555555"/>
        <rFont val="맑은 고딕"/>
        <family val="0"/>
        <charset val="1"/>
      </rPr>
      <t xml:space="preserve">.</t>
    </r>
  </si>
  <si>
    <r>
      <rPr>
        <b val="true"/>
        <sz val="14"/>
        <rFont val="맑은 고딕"/>
        <family val="0"/>
        <charset val="1"/>
      </rPr>
      <t xml:space="preserve">SQ </t>
    </r>
    <r>
      <rPr>
        <b val="true"/>
        <sz val="14"/>
        <rFont val="Noto Sans CJK SC"/>
        <family val="2"/>
      </rPr>
      <t xml:space="preserve">자체평가 지적사항 종합 및 개선계획</t>
    </r>
  </si>
  <si>
    <r>
      <rPr>
        <sz val="8"/>
        <color rgb="FF555555"/>
        <rFont val="Noto Sans CJK SC"/>
        <family val="2"/>
      </rPr>
      <t xml:space="preserve">평가결과 시트에서 </t>
    </r>
    <r>
      <rPr>
        <sz val="8"/>
        <color rgb="FF555555"/>
        <rFont val="맑은 고딕"/>
        <family val="0"/>
        <charset val="1"/>
      </rPr>
      <t xml:space="preserve">"</t>
    </r>
    <r>
      <rPr>
        <sz val="8"/>
        <color rgb="FF555555"/>
        <rFont val="Noto Sans CJK SC"/>
        <family val="2"/>
      </rPr>
      <t xml:space="preserve">추가 지적사항</t>
    </r>
    <r>
      <rPr>
        <sz val="8"/>
        <color rgb="FF555555"/>
        <rFont val="맑은 고딕"/>
        <family val="0"/>
        <charset val="1"/>
      </rPr>
      <t xml:space="preserve">"</t>
    </r>
    <r>
      <rPr>
        <sz val="8"/>
        <color rgb="FF555555"/>
        <rFont val="Noto Sans CJK SC"/>
        <family val="2"/>
      </rPr>
      <t xml:space="preserve">이 기재된 항목을 전기</t>
    </r>
    <r>
      <rPr>
        <sz val="8"/>
        <color rgb="FF555555"/>
        <rFont val="맑은 고딕"/>
        <family val="0"/>
        <charset val="1"/>
      </rPr>
      <t xml:space="preserve">(</t>
    </r>
    <r>
      <rPr>
        <sz val="8"/>
        <color rgb="FF555555"/>
        <rFont val="Noto Sans CJK SC"/>
        <family val="2"/>
      </rPr>
      <t xml:space="preserve">프로그램 자동</t>
    </r>
    <r>
      <rPr>
        <sz val="8"/>
        <color rgb="FF555555"/>
        <rFont val="맑은 고딕"/>
        <family val="0"/>
        <charset val="1"/>
      </rPr>
      <t xml:space="preserve">). </t>
    </r>
    <r>
      <rPr>
        <sz val="8"/>
        <color rgb="FF555555"/>
        <rFont val="Noto Sans CJK SC"/>
        <family val="2"/>
      </rPr>
      <t xml:space="preserve">개선대책</t>
    </r>
    <r>
      <rPr>
        <sz val="8"/>
        <color rgb="FF555555"/>
        <rFont val="맑은 고딕"/>
        <family val="0"/>
        <charset val="1"/>
      </rPr>
      <t xml:space="preserve">·</t>
    </r>
    <r>
      <rPr>
        <sz val="8"/>
        <color rgb="FF555555"/>
        <rFont val="Noto Sans CJK SC"/>
        <family val="2"/>
      </rPr>
      <t xml:space="preserve">기한</t>
    </r>
    <r>
      <rPr>
        <sz val="8"/>
        <color rgb="FF555555"/>
        <rFont val="맑은 고딕"/>
        <family val="0"/>
        <charset val="1"/>
      </rPr>
      <t xml:space="preserve">·</t>
    </r>
    <r>
      <rPr>
        <sz val="8"/>
        <color rgb="FF555555"/>
        <rFont val="Noto Sans CJK SC"/>
        <family val="2"/>
      </rPr>
      <t xml:space="preserve">책임자는 해당 팀이 기재</t>
    </r>
    <r>
      <rPr>
        <sz val="8"/>
        <color rgb="FF555555"/>
        <rFont val="맑은 고딕"/>
        <family val="0"/>
        <charset val="1"/>
      </rPr>
      <t xml:space="preserve">, </t>
    </r>
    <r>
      <rPr>
        <sz val="8"/>
        <color rgb="FF555555"/>
        <rFont val="Noto Sans CJK SC"/>
        <family val="2"/>
      </rPr>
      <t xml:space="preserve">완료 시 효과성 확인 후 종결</t>
    </r>
    <r>
      <rPr>
        <sz val="8"/>
        <color rgb="FF555555"/>
        <rFont val="맑은 고딕"/>
        <family val="0"/>
        <charset val="1"/>
      </rPr>
      <t xml:space="preserve">.</t>
    </r>
  </si>
  <si>
    <t xml:space="preserve">순번</t>
  </si>
  <si>
    <t xml:space="preserve">항목번호</t>
  </si>
  <si>
    <r>
      <rPr>
        <b val="true"/>
        <sz val="9"/>
        <rFont val="Noto Sans CJK SC"/>
        <family val="2"/>
      </rPr>
      <t xml:space="preserve">지적사항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관찰사항 중 지적 발췌</t>
    </r>
    <r>
      <rPr>
        <b val="true"/>
        <sz val="9"/>
        <rFont val="맑은 고딕"/>
        <family val="0"/>
        <charset val="1"/>
      </rPr>
      <t xml:space="preserve">)</t>
    </r>
  </si>
  <si>
    <t xml:space="preserve">개선대책</t>
  </si>
  <si>
    <t xml:space="preserve">기한</t>
  </si>
  <si>
    <t xml:space="preserve">책임자</t>
  </si>
  <si>
    <r>
      <rPr>
        <b val="true"/>
        <sz val="9"/>
        <rFont val="Noto Sans CJK SC"/>
        <family val="2"/>
      </rPr>
      <t xml:space="preserve">완료 확인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효과성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</si>
  <si>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시정조치
대장 </t>
    </r>
    <r>
      <rPr>
        <b val="true"/>
        <sz val="9"/>
        <rFont val="맑은 고딕"/>
        <family val="0"/>
        <charset val="1"/>
      </rPr>
      <t xml:space="preserve">No.</t>
    </r>
  </si>
  <si>
    <r>
      <rPr>
        <i val="true"/>
        <sz val="9"/>
        <color rgb="FF808080"/>
        <rFont val="Noto Sans CJK SC"/>
        <family val="2"/>
      </rPr>
      <t xml:space="preserve">수입검사 마스터 대장 미운영 — 입고품 검사누락 방지 프로세스 부재 </t>
    </r>
    <r>
      <rPr>
        <i val="true"/>
        <sz val="9"/>
        <color rgb="FF808080"/>
        <rFont val="맑은 고딕"/>
        <family val="0"/>
        <charset val="1"/>
      </rPr>
      <t xml:space="preserve">[</t>
    </r>
    <r>
      <rPr>
        <i val="true"/>
        <sz val="9"/>
        <color rgb="FF808080"/>
        <rFont val="Noto Sans CJK SC"/>
        <family val="2"/>
      </rPr>
      <t xml:space="preserve">대책수립 요청</t>
    </r>
    <r>
      <rPr>
        <i val="true"/>
        <sz val="9"/>
        <color rgb="FF808080"/>
        <rFont val="맑은 고딕"/>
        <family val="0"/>
        <charset val="1"/>
      </rPr>
      <t xml:space="preserve">]</t>
    </r>
  </si>
  <si>
    <r>
      <rPr>
        <i val="true"/>
        <sz val="9"/>
        <color rgb="FF808080"/>
        <rFont val="Noto Sans CJK SC"/>
        <family val="2"/>
      </rPr>
      <t xml:space="preserve">수입검사 관리대장</t>
    </r>
    <r>
      <rPr>
        <i val="true"/>
        <sz val="9"/>
        <color rgb="FF808080"/>
        <rFont val="맑은 고딕"/>
        <family val="0"/>
        <charset val="1"/>
      </rPr>
      <t xml:space="preserve">(L2100-10) </t>
    </r>
    <r>
      <rPr>
        <i val="true"/>
        <sz val="9"/>
        <color rgb="FF808080"/>
        <rFont val="Noto Sans CJK SC"/>
        <family val="2"/>
      </rPr>
      <t xml:space="preserve">도입 및 월말 대사 절차 수립</t>
    </r>
  </si>
  <si>
    <t xml:space="preserve">2026-08-31</t>
  </si>
  <si>
    <t xml:space="preserve">자재팀</t>
  </si>
  <si>
    <t xml:space="preserve">CA-26-xx</t>
  </si>
  <si>
    <r>
      <rPr>
        <sz val="8"/>
        <color rgb="FF555555"/>
        <rFont val="Noto Sans CJK SC"/>
        <family val="2"/>
      </rPr>
      <t xml:space="preserve">※ 회색 기울임 행은 작성 예시</t>
    </r>
    <r>
      <rPr>
        <sz val="8"/>
        <color rgb="FF555555"/>
        <rFont val="맑은 고딕"/>
        <family val="0"/>
        <charset val="1"/>
      </rPr>
      <t xml:space="preserve">. </t>
    </r>
    <r>
      <rPr>
        <sz val="8"/>
        <color rgb="FF555555"/>
        <rFont val="Noto Sans CJK SC"/>
        <family val="2"/>
      </rPr>
      <t xml:space="preserve">지적사항은 </t>
    </r>
    <r>
      <rPr>
        <sz val="8"/>
        <color rgb="FF555555"/>
        <rFont val="맑은 고딕"/>
        <family val="0"/>
        <charset val="1"/>
      </rPr>
      <t xml:space="preserve">findings/</t>
    </r>
    <r>
      <rPr>
        <sz val="8"/>
        <color rgb="FF555555"/>
        <rFont val="Noto Sans CJK SC"/>
        <family val="2"/>
      </rPr>
      <t xml:space="preserve">시정조치 워크플로우와 연계</t>
    </r>
    <r>
      <rPr>
        <sz val="8"/>
        <color rgb="FF555555"/>
        <rFont val="맑은 고딕"/>
        <family val="0"/>
        <charset val="1"/>
      </rPr>
      <t xml:space="preserve">(</t>
    </r>
    <r>
      <rPr>
        <sz val="8"/>
        <color rgb="FF555555"/>
        <rFont val="Noto Sans CJK SC"/>
        <family val="2"/>
      </rPr>
      <t xml:space="preserve">시정조치 대장 </t>
    </r>
    <r>
      <rPr>
        <sz val="8"/>
        <color rgb="FF555555"/>
        <rFont val="맑은 고딕"/>
        <family val="0"/>
        <charset val="1"/>
      </rPr>
      <t xml:space="preserve">No. </t>
    </r>
    <r>
      <rPr>
        <sz val="8"/>
        <color rgb="FF555555"/>
        <rFont val="Noto Sans CJK SC"/>
        <family val="2"/>
      </rPr>
      <t xml:space="preserve">기입</t>
    </r>
    <r>
      <rPr>
        <sz val="8"/>
        <color rgb="FF555555"/>
        <rFont val="맑은 고딕"/>
        <family val="0"/>
        <charset val="1"/>
      </rPr>
      <t xml:space="preserve">).</t>
    </r>
  </si>
  <si>
    <t xml:space="preserve">■ 이 양식의 용도</t>
  </si>
  <si>
    <r>
      <rPr>
        <sz val="9"/>
        <rFont val="맑은 고딕"/>
        <family val="0"/>
        <charset val="1"/>
      </rPr>
      <t xml:space="preserve">· SQ </t>
    </r>
    <r>
      <rPr>
        <sz val="9"/>
        <rFont val="Noto Sans CJK SC"/>
        <family val="2"/>
      </rPr>
      <t xml:space="preserve">평가서 </t>
    </r>
    <r>
      <rPr>
        <sz val="9"/>
        <rFont val="맑은 고딕"/>
        <family val="0"/>
        <charset val="1"/>
      </rPr>
      <t xml:space="preserve">Ver4 </t>
    </r>
    <r>
      <rPr>
        <sz val="9"/>
        <rFont val="Noto Sans CJK SC"/>
        <family val="2"/>
      </rPr>
      <t xml:space="preserve">기준 자체 내부심사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자체평가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실시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기록용 — </t>
    </r>
    <r>
      <rPr>
        <sz val="9"/>
        <rFont val="맑은 고딕"/>
        <family val="0"/>
        <charset val="1"/>
      </rPr>
      <t xml:space="preserve">SQ 6_4 </t>
    </r>
    <r>
      <rPr>
        <sz val="9"/>
        <rFont val="Noto Sans CJK SC"/>
        <family val="2"/>
      </rPr>
      <t xml:space="preserve">항목이 요구하는 </t>
    </r>
    <r>
      <rPr>
        <sz val="9"/>
        <rFont val="맑은 고딕"/>
        <family val="0"/>
        <charset val="1"/>
      </rPr>
      <t xml:space="preserve">"SQ </t>
    </r>
    <r>
      <rPr>
        <sz val="9"/>
        <rFont val="Noto Sans CJK SC"/>
        <family val="2"/>
      </rPr>
      <t xml:space="preserve">인증업종 자체 내부심사</t>
    </r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평가서 기준</t>
    </r>
    <r>
      <rPr>
        <sz val="9"/>
        <rFont val="맑은 고딕"/>
        <family val="0"/>
        <charset val="1"/>
      </rPr>
      <t xml:space="preserve">] + </t>
    </r>
    <r>
      <rPr>
        <sz val="9"/>
        <rFont val="Noto Sans CJK SC"/>
        <family val="2"/>
      </rPr>
      <t xml:space="preserve">경영자 보고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증빙물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</si>
  <si>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· iatf16949-manager </t>
    </r>
    <r>
      <rPr>
        <sz val="9"/>
        <rFont val="Noto Sans CJK SC"/>
        <family val="2"/>
      </rPr>
      <t xml:space="preserve">자체평가 모듈</t>
    </r>
    <r>
      <rPr>
        <sz val="9"/>
        <rFont val="맑은 고딕"/>
        <family val="0"/>
        <charset val="1"/>
      </rPr>
      <t xml:space="preserve">(07</t>
    </r>
    <r>
      <rPr>
        <sz val="9"/>
        <rFont val="Noto Sans CJK SC"/>
        <family val="2"/>
      </rPr>
      <t xml:space="preserve">번 지시서 </t>
    </r>
    <r>
      <rPr>
        <sz val="9"/>
        <rFont val="맑은 고딕"/>
        <family val="0"/>
        <charset val="1"/>
      </rPr>
      <t xml:space="preserve">UC-SQ-06)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v1 </t>
    </r>
    <r>
      <rPr>
        <sz val="9"/>
        <rFont val="Noto Sans CJK SC"/>
        <family val="2"/>
      </rPr>
      <t xml:space="preserve">출력 양식이며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프로그램 도입 전에는 수기로 사용 가능</t>
    </r>
    <r>
      <rPr>
        <sz val="9"/>
        <rFont val="맑은 고딕"/>
        <family val="0"/>
        <charset val="1"/>
      </rPr>
      <t xml:space="preserve">.</t>
    </r>
  </si>
  <si>
    <t xml:space="preserve">■ 작성 순서</t>
  </si>
  <si>
    <r>
      <rPr>
        <sz val="9"/>
        <rFont val="맑은 고딕"/>
        <family val="0"/>
        <charset val="1"/>
      </rPr>
      <t xml:space="preserve">· ① </t>
    </r>
    <r>
      <rPr>
        <sz val="9"/>
        <rFont val="Noto Sans CJK SC"/>
        <family val="2"/>
      </rPr>
      <t xml:space="preserve">평가결과 시트에서 </t>
    </r>
    <r>
      <rPr>
        <sz val="9"/>
        <rFont val="맑은 고딕"/>
        <family val="0"/>
        <charset val="1"/>
      </rPr>
      <t xml:space="preserve">42</t>
    </r>
    <r>
      <rPr>
        <sz val="9"/>
        <rFont val="Noto Sans CJK SC"/>
        <family val="2"/>
      </rPr>
      <t xml:space="preserve">개 항목별 이행상태를 드롭다운으로 확정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근거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각 팀 </t>
    </r>
    <r>
      <rPr>
        <sz val="9"/>
        <rFont val="맑은 고딕"/>
        <family val="0"/>
        <charset val="1"/>
      </rPr>
      <t xml:space="preserve">checkpoint/</t>
    </r>
    <r>
      <rPr>
        <sz val="9"/>
        <rFont val="Noto Sans CJK SC"/>
        <family val="2"/>
      </rPr>
      <t xml:space="preserve">증빙 상태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갭양식 작성요령 시트의 감점 패턴 참조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</si>
  <si>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· ② </t>
    </r>
    <r>
      <rPr>
        <sz val="9"/>
        <rFont val="Noto Sans CJK SC"/>
        <family val="2"/>
      </rPr>
      <t xml:space="preserve">관찰사항은 구체적으로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확인한 증빙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문서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기록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현물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과 상태를 수치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사실 위주로 기술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일부미흡 이하는 </t>
    </r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대책수립 요청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문구 필수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우수는 선정사유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동종업종 대비 우수점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</si>
  <si>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· ③ </t>
    </r>
    <r>
      <rPr>
        <sz val="9"/>
        <rFont val="Noto Sans CJK SC"/>
        <family val="2"/>
      </rPr>
      <t xml:space="preserve">지적이 있는 항목은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추가 지적사항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에 기재 → 지적사항 종합 시트로 전기 → 개선대책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기한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책임자 확정</t>
    </r>
  </si>
  <si>
    <r>
      <rPr>
        <sz val="9"/>
        <rFont val="맑은 고딕"/>
        <family val="0"/>
        <charset val="1"/>
      </rPr>
      <t xml:space="preserve">· ④ 42</t>
    </r>
    <r>
      <rPr>
        <sz val="9"/>
        <rFont val="Noto Sans CJK SC"/>
        <family val="2"/>
      </rPr>
      <t xml:space="preserve">항목 전부 확정 시 총점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환산점수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등급이 자동 표시 → 표지 요약에 반영</t>
    </r>
  </si>
  <si>
    <r>
      <rPr>
        <sz val="9"/>
        <rFont val="맑은 고딕"/>
        <family val="0"/>
        <charset val="1"/>
      </rPr>
      <t xml:space="preserve">· ⑤ </t>
    </r>
    <r>
      <rPr>
        <sz val="9"/>
        <rFont val="Noto Sans CJK SC"/>
        <family val="2"/>
      </rPr>
      <t xml:space="preserve">표지 종합의견 작성 → 결재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작성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검토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승인</t>
    </r>
    <r>
      <rPr>
        <sz val="9"/>
        <rFont val="맑은 고딕"/>
        <family val="0"/>
        <charset val="1"/>
      </rPr>
      <t xml:space="preserve">) → </t>
    </r>
    <r>
      <rPr>
        <sz val="9"/>
        <rFont val="Noto Sans CJK SC"/>
        <family val="2"/>
      </rPr>
      <t xml:space="preserve">승인본 보존</t>
    </r>
    <r>
      <rPr>
        <sz val="9"/>
        <rFont val="맑은 고딕"/>
        <family val="0"/>
        <charset val="1"/>
      </rPr>
      <t xml:space="preserve">(3</t>
    </r>
    <r>
      <rPr>
        <sz val="9"/>
        <rFont val="Noto Sans CJK SC"/>
        <family val="2"/>
      </rPr>
      <t xml:space="preserve">년</t>
    </r>
    <r>
      <rPr>
        <sz val="9"/>
        <rFont val="맑은 고딕"/>
        <family val="0"/>
        <charset val="1"/>
      </rPr>
      <t xml:space="preserve">) + </t>
    </r>
    <r>
      <rPr>
        <sz val="9"/>
        <rFont val="Noto Sans CJK SC"/>
        <family val="2"/>
      </rPr>
      <t xml:space="preserve">개선과제 시정조치 대장 연계</t>
    </r>
  </si>
  <si>
    <r>
      <rPr>
        <b val="true"/>
        <sz val="11"/>
        <rFont val="Noto Sans CJK SC"/>
        <family val="2"/>
      </rPr>
      <t xml:space="preserve">■ 판정 기준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채점 기준표 요약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</si>
  <si>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우수</t>
    </r>
    <r>
      <rPr>
        <sz val="9"/>
        <rFont val="맑은 고딕"/>
        <family val="0"/>
        <charset val="1"/>
      </rPr>
      <t xml:space="preserve">(×1.0): </t>
    </r>
    <r>
      <rPr>
        <sz val="9"/>
        <rFont val="Noto Sans CJK SC"/>
        <family val="2"/>
      </rPr>
      <t xml:space="preserve">기준 충족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지속 개선 고도화 증빙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양호</t>
    </r>
    <r>
      <rPr>
        <sz val="9"/>
        <rFont val="맑은 고딕"/>
        <family val="0"/>
        <charset val="1"/>
      </rPr>
      <t xml:space="preserve">(×0.8): </t>
    </r>
    <r>
      <rPr>
        <sz val="9"/>
        <rFont val="Noto Sans CJK SC"/>
        <family val="2"/>
      </rPr>
      <t xml:space="preserve">기준 수립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현장 일치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실적 누락 </t>
    </r>
    <r>
      <rPr>
        <sz val="9"/>
        <rFont val="맑은 고딕"/>
        <family val="0"/>
        <charset val="1"/>
      </rPr>
      <t xml:space="preserve">0</t>
    </r>
  </si>
  <si>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보완</t>
    </r>
    <r>
      <rPr>
        <sz val="9"/>
        <rFont val="맑은 고딕"/>
        <family val="0"/>
        <charset val="1"/>
      </rPr>
      <t xml:space="preserve">(×0.6): </t>
    </r>
    <r>
      <rPr>
        <sz val="9"/>
        <rFont val="Noto Sans CJK SC"/>
        <family val="2"/>
      </rPr>
      <t xml:space="preserve">세부기준 일부 불명확 </t>
    </r>
    <r>
      <rPr>
        <sz val="9"/>
        <rFont val="맑은 고딕"/>
        <family val="0"/>
        <charset val="1"/>
      </rPr>
      <t xml:space="preserve">or </t>
    </r>
    <r>
      <rPr>
        <sz val="9"/>
        <rFont val="Noto Sans CJK SC"/>
        <family val="2"/>
      </rPr>
      <t xml:space="preserve">실적이 </t>
    </r>
    <r>
      <rPr>
        <sz val="9"/>
        <rFont val="맑은 고딕"/>
        <family val="0"/>
        <charset val="1"/>
      </rPr>
      <t xml:space="preserve">OK/NG </t>
    </r>
    <r>
      <rPr>
        <sz val="9"/>
        <rFont val="Noto Sans CJK SC"/>
        <family val="2"/>
      </rPr>
      <t xml:space="preserve">결론만 기록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일부미흡</t>
    </r>
    <r>
      <rPr>
        <sz val="9"/>
        <rFont val="맑은 고딕"/>
        <family val="0"/>
        <charset val="1"/>
      </rPr>
      <t xml:space="preserve">(×0.5): </t>
    </r>
    <r>
      <rPr>
        <sz val="9"/>
        <rFont val="Noto Sans CJK SC"/>
        <family val="2"/>
      </rPr>
      <t xml:space="preserve">기준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항목 이하 미수립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간헐 누락</t>
    </r>
  </si>
  <si>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다수미흡</t>
    </r>
    <r>
      <rPr>
        <sz val="9"/>
        <rFont val="맑은 고딕"/>
        <family val="0"/>
        <charset val="1"/>
      </rPr>
      <t xml:space="preserve">(×0.25): 3</t>
    </r>
    <r>
      <rPr>
        <sz val="9"/>
        <rFont val="Noto Sans CJK SC"/>
        <family val="2"/>
      </rPr>
      <t xml:space="preserve">항목 이상 미수립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다수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연속 누락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허위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미관리</t>
    </r>
    <r>
      <rPr>
        <sz val="9"/>
        <rFont val="맑은 고딕"/>
        <family val="0"/>
        <charset val="1"/>
      </rPr>
      <t xml:space="preserve">(×0): </t>
    </r>
    <r>
      <rPr>
        <sz val="9"/>
        <rFont val="Noto Sans CJK SC"/>
        <family val="2"/>
      </rPr>
      <t xml:space="preserve">기준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실적 없음</t>
    </r>
  </si>
  <si>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특수</t>
    </r>
    <r>
      <rPr>
        <sz val="9"/>
        <rFont val="맑은 고딕"/>
        <family val="0"/>
        <charset val="1"/>
      </rPr>
      <t xml:space="preserve">: 6_5 </t>
    </r>
    <r>
      <rPr>
        <sz val="9"/>
        <rFont val="Noto Sans CJK SC"/>
        <family val="2"/>
      </rPr>
      <t xml:space="preserve">중요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특별공정 자격인증 미실시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허위 →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점 강제</t>
    </r>
    <r>
      <rPr>
        <sz val="9"/>
        <rFont val="맑은 고딕"/>
        <family val="0"/>
        <charset val="1"/>
      </rPr>
      <t xml:space="preserve">. 4_x</t>
    </r>
    <r>
      <rPr>
        <sz val="9"/>
        <rFont val="Noto Sans CJK SC"/>
        <family val="2"/>
      </rPr>
      <t xml:space="preserve">는 자체 프레스 공정 없으면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미해당</t>
    </r>
    <r>
      <rPr>
        <sz val="9"/>
        <rFont val="맑은 고딕"/>
        <family val="0"/>
        <charset val="1"/>
      </rPr>
      <t xml:space="preserve">"(</t>
    </r>
    <r>
      <rPr>
        <sz val="9"/>
        <rFont val="Noto Sans CJK SC"/>
        <family val="2"/>
      </rPr>
      <t xml:space="preserve">근거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공정흐름도</t>
    </r>
    <r>
      <rPr>
        <sz val="9"/>
        <rFont val="맑은 고딕"/>
        <family val="0"/>
        <charset val="1"/>
      </rPr>
      <t xml:space="preserve">).</t>
    </r>
  </si>
  <si>
    <t xml:space="preserve">■ 주의</t>
  </si>
  <si>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미해당 환산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원점수</t>
    </r>
    <r>
      <rPr>
        <sz val="9"/>
        <rFont val="맑은 고딕"/>
        <family val="0"/>
        <charset val="1"/>
      </rPr>
      <t xml:space="preserve">÷(1000-</t>
    </r>
    <r>
      <rPr>
        <sz val="9"/>
        <rFont val="Noto Sans CJK SC"/>
        <family val="2"/>
      </rPr>
      <t xml:space="preserve">미해당배점</t>
    </r>
    <r>
      <rPr>
        <sz val="9"/>
        <rFont val="맑은 고딕"/>
        <family val="0"/>
        <charset val="1"/>
      </rPr>
      <t xml:space="preserve">)×1000)</t>
    </r>
    <r>
      <rPr>
        <sz val="9"/>
        <rFont val="Noto Sans CJK SC"/>
        <family val="2"/>
      </rPr>
      <t xml:space="preserve">은 잠정 규칙 — </t>
    </r>
    <r>
      <rPr>
        <sz val="9"/>
        <rFont val="맑은 고딕"/>
        <family val="0"/>
        <charset val="1"/>
      </rPr>
      <t xml:space="preserve">HKMC </t>
    </r>
    <r>
      <rPr>
        <sz val="9"/>
        <rFont val="Noto Sans CJK SC"/>
        <family val="2"/>
      </rPr>
      <t xml:space="preserve">원본 </t>
    </r>
    <r>
      <rPr>
        <sz val="9"/>
        <rFont val="맑은 고딕"/>
        <family val="0"/>
        <charset val="1"/>
      </rPr>
      <t xml:space="preserve">xlsm </t>
    </r>
    <r>
      <rPr>
        <sz val="9"/>
        <rFont val="Noto Sans CJK SC"/>
        <family val="2"/>
      </rPr>
      <t xml:space="preserve">확인 후 확정 </t>
    </r>
    <r>
      <rPr>
        <sz val="9"/>
        <rFont val="맑은 고딕"/>
        <family val="0"/>
        <charset val="1"/>
      </rPr>
      <t xml:space="preserve">(07</t>
    </r>
    <r>
      <rPr>
        <sz val="9"/>
        <rFont val="Noto Sans CJK SC"/>
        <family val="2"/>
      </rPr>
      <t xml:space="preserve">번 지시서 </t>
    </r>
    <r>
      <rPr>
        <sz val="9"/>
        <rFont val="맑은 고딕"/>
        <family val="0"/>
        <charset val="1"/>
      </rPr>
      <t xml:space="preserve">12</t>
    </r>
    <r>
      <rPr>
        <sz val="9"/>
        <rFont val="Noto Sans CJK SC"/>
        <family val="2"/>
      </rPr>
      <t xml:space="preserve">절 블로커 ①</t>
    </r>
    <r>
      <rPr>
        <sz val="9"/>
        <rFont val="맑은 고딕"/>
        <family val="0"/>
        <charset val="1"/>
      </rPr>
      <t xml:space="preserve">).</t>
    </r>
  </si>
  <si>
    <r>
      <rPr>
        <sz val="9"/>
        <rFont val="맑은 고딕"/>
        <family val="0"/>
        <charset val="1"/>
      </rPr>
      <t xml:space="preserve">· </t>
    </r>
    <r>
      <rPr>
        <sz val="9"/>
        <rFont val="Noto Sans CJK SC"/>
        <family val="2"/>
      </rPr>
      <t xml:space="preserve">자체평가 결과와 실제 심사 지적이 크게 어긋나면 자체심사 신뢰성 자체가 지적됨 — 관대한 판정 금지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증빙 없으면 미흡으로</t>
    </r>
    <r>
      <rPr>
        <sz val="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</si>
</sst>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맑은 고딕"/>
      <family val="0"/>
      <charset val="1"/>
    </font>
    <font>
      <b val="true"/>
      <sz val="20"/>
      <name val="Noto Sans CJK SC"/>
      <family val="2"/>
    </font>
    <font>
      <sz val="11"/>
      <color rgb="FF666666"/>
      <name val="맑은 고딕"/>
      <family val="0"/>
      <charset val="1"/>
    </font>
    <font>
      <sz val="11"/>
      <color rgb="FF666666"/>
      <name val="Noto Sans CJK SC"/>
      <family val="2"/>
    </font>
    <font>
      <b val="true"/>
      <sz val="9"/>
      <name val="Noto Sans CJK SC"/>
      <family val="2"/>
    </font>
    <font>
      <sz val="9"/>
      <name val="맑은 고딕"/>
      <family val="0"/>
      <charset val="1"/>
    </font>
    <font>
      <sz val="9"/>
      <name val="Noto Sans CJK SC"/>
      <family val="2"/>
    </font>
    <font>
      <b val="true"/>
      <sz val="9"/>
      <name val="맑은 고딕"/>
      <family val="0"/>
      <charset val="1"/>
    </font>
    <font>
      <b val="true"/>
      <sz val="12"/>
      <name val="Noto Sans CJK SC"/>
      <family val="2"/>
    </font>
    <font>
      <b val="true"/>
      <sz val="11"/>
      <name val="맑은 고딕"/>
      <family val="0"/>
      <charset val="1"/>
    </font>
    <font>
      <b val="true"/>
      <sz val="12"/>
      <name val="맑은 고딕"/>
      <family val="0"/>
      <charset val="1"/>
    </font>
    <font>
      <sz val="8"/>
      <color rgb="FF555555"/>
      <name val="Noto Sans CJK SC"/>
      <family val="2"/>
    </font>
    <font>
      <sz val="8"/>
      <color rgb="FF555555"/>
      <name val="맑은 고딕"/>
      <family val="0"/>
      <charset val="1"/>
    </font>
    <font>
      <b val="true"/>
      <sz val="14"/>
      <name val="맑은 고딕"/>
      <family val="0"/>
      <charset val="1"/>
    </font>
    <font>
      <b val="true"/>
      <sz val="14"/>
      <name val="Noto Sans CJK SC"/>
      <family val="2"/>
    </font>
    <font>
      <i val="true"/>
      <sz val="9"/>
      <color rgb="FF808080"/>
      <name val="맑은 고딕"/>
      <family val="0"/>
      <charset val="1"/>
    </font>
    <font>
      <i val="true"/>
      <sz val="9"/>
      <color rgb="FF808080"/>
      <name val="Noto Sans CJK SC"/>
      <family val="2"/>
    </font>
    <font>
      <b val="true"/>
      <sz val="1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E6F1FB"/>
      </patternFill>
    </fill>
    <fill>
      <patternFill patternType="solid">
        <fgColor rgb="FFFFFDE7"/>
        <bgColor rgb="FFFFF7E6"/>
      </patternFill>
    </fill>
    <fill>
      <patternFill patternType="solid">
        <fgColor rgb="FFFCE4D6"/>
        <bgColor rgb="FFFCEBEB"/>
      </patternFill>
    </fill>
    <fill>
      <patternFill patternType="solid">
        <fgColor rgb="FFFFF7E6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b val="1"/>
        <color rgb="FFC00000"/>
        <sz val="9"/>
      </font>
      <fill>
        <patternFill>
          <bgColor rgb="FFFCEBEB"/>
        </patternFill>
      </fill>
    </dxf>
    <dxf>
      <font>
        <name val="맑은 고딕"/>
        <charset val="1"/>
        <family val="0"/>
        <b val="1"/>
        <color rgb="FF1F4E79"/>
        <sz val="9"/>
      </font>
      <fill>
        <patternFill>
          <bgColor rgb="FFE6F1FB"/>
        </patternFill>
      </fill>
    </dxf>
  </dxfs>
  <colors>
    <indexedColors>
      <rgbColor rgb="FF000000"/>
      <rgbColor rgb="FFFFFDE7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E6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BEB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6"/>
    <col collapsed="false" customWidth="true" hidden="false" outlineLevel="0" max="8" min="8" style="0" width="4"/>
  </cols>
  <sheetData>
    <row r="4" customFormat="false" ht="43.5" hidden="false" customHeight="true" outlineLevel="0" collapsed="false">
      <c r="B4" s="1" t="s">
        <v>0</v>
      </c>
      <c r="C4" s="1"/>
      <c r="D4" s="1"/>
      <c r="E4" s="1"/>
      <c r="F4" s="1"/>
      <c r="G4" s="1"/>
    </row>
    <row r="5" customFormat="false" ht="17.15" hidden="false" customHeight="true" outlineLevel="0" collapsed="false">
      <c r="B5" s="2" t="s">
        <v>1</v>
      </c>
      <c r="C5" s="2"/>
      <c r="D5" s="2"/>
      <c r="E5" s="2"/>
      <c r="F5" s="2"/>
      <c r="G5" s="2"/>
    </row>
    <row r="8" customFormat="false" ht="15" hidden="false" customHeight="true" outlineLevel="0" collapsed="false">
      <c r="B8" s="3" t="s">
        <v>2</v>
      </c>
      <c r="C8" s="4" t="s">
        <v>3</v>
      </c>
      <c r="D8" s="4"/>
      <c r="E8" s="3" t="s">
        <v>4</v>
      </c>
      <c r="F8" s="5" t="s">
        <v>5</v>
      </c>
      <c r="G8" s="5"/>
    </row>
    <row r="9" customFormat="false" ht="15" hidden="false" customHeight="true" outlineLevel="0" collapsed="false">
      <c r="B9" s="3" t="s">
        <v>6</v>
      </c>
      <c r="C9" s="4"/>
      <c r="D9" s="4"/>
      <c r="E9" s="3" t="s">
        <v>7</v>
      </c>
      <c r="F9" s="4" t="s">
        <v>8</v>
      </c>
      <c r="G9" s="4"/>
    </row>
    <row r="10" customFormat="false" ht="15" hidden="false" customHeight="true" outlineLevel="0" collapsed="false">
      <c r="B10" s="3" t="s">
        <v>9</v>
      </c>
      <c r="C10" s="4"/>
      <c r="D10" s="4"/>
      <c r="E10" s="3" t="s">
        <v>10</v>
      </c>
      <c r="F10" s="5" t="s">
        <v>11</v>
      </c>
      <c r="G10" s="5"/>
    </row>
    <row r="11" customFormat="false" ht="15" hidden="false" customHeight="false" outlineLevel="0" collapsed="false">
      <c r="B11" s="3" t="s">
        <v>12</v>
      </c>
      <c r="C11" s="4"/>
      <c r="D11" s="4"/>
      <c r="E11" s="3" t="s">
        <v>13</v>
      </c>
      <c r="F11" s="4"/>
      <c r="G11" s="4"/>
    </row>
    <row r="13" customFormat="false" ht="15" hidden="false" customHeight="false" outlineLevel="0" collapsed="false">
      <c r="B13" s="6" t="s">
        <v>14</v>
      </c>
    </row>
    <row r="14" customFormat="false" ht="15" hidden="false" customHeight="false" outlineLevel="0" collapsed="false">
      <c r="B14" s="7" t="s">
        <v>15</v>
      </c>
      <c r="C14" s="7"/>
      <c r="D14" s="7"/>
      <c r="E14" s="8" t="n">
        <f aca="false">평가결과!G52</f>
        <v>0</v>
      </c>
      <c r="F14" s="8"/>
      <c r="G14" s="8"/>
    </row>
    <row r="15" customFormat="false" ht="15" hidden="false" customHeight="false" outlineLevel="0" collapsed="false">
      <c r="B15" s="7" t="s">
        <v>16</v>
      </c>
      <c r="C15" s="7"/>
      <c r="D15" s="7"/>
      <c r="E15" s="8" t="n">
        <f aca="false">평가결과!D54</f>
        <v>0</v>
      </c>
      <c r="F15" s="8"/>
      <c r="G15" s="8"/>
    </row>
    <row r="16" customFormat="false" ht="15" hidden="false" customHeight="false" outlineLevel="0" collapsed="false">
      <c r="B16" s="7" t="s">
        <v>17</v>
      </c>
      <c r="C16" s="7"/>
      <c r="D16" s="7"/>
      <c r="E16" s="8" t="n">
        <f aca="false">평가결과!G54</f>
        <v>0</v>
      </c>
      <c r="F16" s="8"/>
      <c r="G16" s="8"/>
    </row>
    <row r="17" customFormat="false" ht="15" hidden="false" customHeight="false" outlineLevel="0" collapsed="false">
      <c r="B17" s="7" t="s">
        <v>18</v>
      </c>
      <c r="C17" s="7"/>
      <c r="D17" s="7"/>
      <c r="E17" s="8" t="str">
        <f aca="false">평가결과!G55</f>
        <v/>
      </c>
      <c r="F17" s="8"/>
      <c r="G17" s="8"/>
    </row>
    <row r="19" customFormat="false" ht="19.4" hidden="false" customHeight="false" outlineLevel="0" collapsed="false">
      <c r="B19" s="6" t="s">
        <v>19</v>
      </c>
    </row>
    <row r="20" customFormat="false" ht="15" hidden="false" customHeight="false" outlineLevel="0" collapsed="false">
      <c r="B20" s="9"/>
      <c r="C20" s="9"/>
      <c r="D20" s="9"/>
      <c r="E20" s="9"/>
      <c r="F20" s="9"/>
      <c r="G20" s="9"/>
    </row>
    <row r="21" customFormat="false" ht="15" hidden="false" customHeight="false" outlineLevel="0" collapsed="false"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B24" s="9"/>
      <c r="C24" s="9"/>
      <c r="D24" s="9"/>
      <c r="E24" s="9"/>
      <c r="F24" s="9"/>
      <c r="G24" s="9"/>
    </row>
    <row r="26" customFormat="false" ht="19.4" hidden="false" customHeight="false" outlineLevel="0" collapsed="false">
      <c r="B26" s="6" t="s">
        <v>20</v>
      </c>
    </row>
    <row r="27" customFormat="false" ht="15" hidden="false" customHeight="true" outlineLevel="0" collapsed="false">
      <c r="B27" s="10" t="s">
        <v>21</v>
      </c>
      <c r="C27" s="10"/>
      <c r="D27" s="10" t="s">
        <v>22</v>
      </c>
      <c r="E27" s="10"/>
      <c r="F27" s="10" t="s">
        <v>23</v>
      </c>
      <c r="G27" s="10"/>
    </row>
    <row r="28" customFormat="false" ht="15" hidden="false" customHeight="false" outlineLevel="0" collapsed="false"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B30" s="11"/>
      <c r="C30" s="11"/>
      <c r="D30" s="11"/>
      <c r="E30" s="11"/>
      <c r="F30" s="11"/>
      <c r="G30" s="11"/>
    </row>
    <row r="32" customFormat="false" ht="15" hidden="false" customHeight="false" outlineLevel="0" collapsed="false">
      <c r="B32" s="12" t="s">
        <v>24</v>
      </c>
    </row>
  </sheetData>
  <mergeCells count="25">
    <mergeCell ref="B4:G4"/>
    <mergeCell ref="B5:G5"/>
    <mergeCell ref="C8:D8"/>
    <mergeCell ref="F8:G8"/>
    <mergeCell ref="C9:D9"/>
    <mergeCell ref="F9:G9"/>
    <mergeCell ref="C10:D10"/>
    <mergeCell ref="F10:G10"/>
    <mergeCell ref="C11:D11"/>
    <mergeCell ref="F11:G11"/>
    <mergeCell ref="B14:D14"/>
    <mergeCell ref="E14:G14"/>
    <mergeCell ref="B15:D15"/>
    <mergeCell ref="E15:G15"/>
    <mergeCell ref="B16:D16"/>
    <mergeCell ref="E16:G16"/>
    <mergeCell ref="B17:D17"/>
    <mergeCell ref="E17:G17"/>
    <mergeCell ref="B20:G24"/>
    <mergeCell ref="B27:C27"/>
    <mergeCell ref="D27:E27"/>
    <mergeCell ref="F27:G27"/>
    <mergeCell ref="B28:C30"/>
    <mergeCell ref="D28:E30"/>
    <mergeCell ref="F28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2"/>
    <col collapsed="false" customWidth="true" hidden="false" outlineLevel="0" max="4" min="4" style="0" width="6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9"/>
  </cols>
  <sheetData>
    <row r="1" customFormat="false" ht="25.5" hidden="false" customHeight="true" outlineLevel="0" collapsed="false">
      <c r="A1" s="13" t="s">
        <v>25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4" hidden="false" customHeight="true" outlineLevel="0" collapsed="false">
      <c r="A2" s="14" t="s">
        <v>26</v>
      </c>
      <c r="B2" s="14"/>
      <c r="C2" s="14"/>
      <c r="D2" s="14"/>
      <c r="E2" s="14"/>
      <c r="F2" s="14"/>
      <c r="G2" s="14"/>
      <c r="H2" s="14"/>
      <c r="I2" s="14"/>
      <c r="J2" s="14"/>
    </row>
    <row r="3" customFormat="false" ht="25.5" hidden="false" customHeight="true" outlineLevel="0" collapsed="false">
      <c r="A3" s="15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</row>
    <row r="4" customFormat="false" ht="21.75" hidden="false" customHeight="true" outlineLevel="0" collapsed="false">
      <c r="A4" s="16" t="s">
        <v>37</v>
      </c>
      <c r="B4" s="17" t="s">
        <v>38</v>
      </c>
      <c r="C4" s="18" t="s">
        <v>39</v>
      </c>
      <c r="D4" s="16" t="n">
        <v>20</v>
      </c>
      <c r="E4" s="19"/>
      <c r="F4" s="19"/>
      <c r="G4" s="16" t="str">
        <f aca="false">IF(F4="","",D4*IF(F4="우수",1,IF(F4="양호",0.8,IF(F4="보완",0.6,IF(F4="일부미흡",0.5,IF(F4="다수미흡",0.25,0))))))</f>
        <v/>
      </c>
      <c r="H4" s="20"/>
      <c r="I4" s="20"/>
      <c r="J4" s="19"/>
    </row>
    <row r="5" customFormat="false" ht="21.75" hidden="false" customHeight="true" outlineLevel="0" collapsed="false">
      <c r="A5" s="16" t="s">
        <v>40</v>
      </c>
      <c r="B5" s="17" t="s">
        <v>38</v>
      </c>
      <c r="C5" s="18" t="s">
        <v>41</v>
      </c>
      <c r="D5" s="16" t="n">
        <v>20</v>
      </c>
      <c r="E5" s="19"/>
      <c r="F5" s="19"/>
      <c r="G5" s="16" t="str">
        <f aca="false">IF(F5="","",D5*IF(F5="우수",1,IF(F5="양호",0.8,IF(F5="보완",0.6,IF(F5="일부미흡",0.5,IF(F5="다수미흡",0.25,0))))))</f>
        <v/>
      </c>
      <c r="H5" s="20"/>
      <c r="I5" s="20"/>
      <c r="J5" s="19"/>
    </row>
    <row r="6" customFormat="false" ht="21.75" hidden="false" customHeight="true" outlineLevel="0" collapsed="false">
      <c r="A6" s="16" t="s">
        <v>42</v>
      </c>
      <c r="B6" s="17" t="s">
        <v>38</v>
      </c>
      <c r="C6" s="18" t="s">
        <v>43</v>
      </c>
      <c r="D6" s="16" t="n">
        <v>10</v>
      </c>
      <c r="E6" s="19"/>
      <c r="F6" s="19"/>
      <c r="G6" s="16" t="str">
        <f aca="false">IF(F6="","",D6*IF(F6="우수",1,IF(F6="양호",0.8,IF(F6="보완",0.6,IF(F6="일부미흡",0.5,IF(F6="다수미흡",0.25,0))))))</f>
        <v/>
      </c>
      <c r="H6" s="20"/>
      <c r="I6" s="20"/>
      <c r="J6" s="19"/>
    </row>
    <row r="7" customFormat="false" ht="21.75" hidden="false" customHeight="true" outlineLevel="0" collapsed="false">
      <c r="A7" s="16" t="s">
        <v>44</v>
      </c>
      <c r="B7" s="17" t="s">
        <v>38</v>
      </c>
      <c r="C7" s="18" t="s">
        <v>45</v>
      </c>
      <c r="D7" s="16" t="n">
        <v>20</v>
      </c>
      <c r="E7" s="19"/>
      <c r="F7" s="19"/>
      <c r="G7" s="16" t="str">
        <f aca="false">IF(F7="","",D7*IF(F7="우수",1,IF(F7="양호",0.8,IF(F7="보완",0.6,IF(F7="일부미흡",0.5,IF(F7="다수미흡",0.25,0))))))</f>
        <v/>
      </c>
      <c r="H7" s="20"/>
      <c r="I7" s="20"/>
      <c r="J7" s="19"/>
    </row>
    <row r="8" customFormat="false" ht="21.75" hidden="false" customHeight="true" outlineLevel="0" collapsed="false">
      <c r="A8" s="16" t="s">
        <v>46</v>
      </c>
      <c r="B8" s="17" t="s">
        <v>38</v>
      </c>
      <c r="C8" s="18" t="s">
        <v>47</v>
      </c>
      <c r="D8" s="16" t="n">
        <v>50</v>
      </c>
      <c r="E8" s="19"/>
      <c r="F8" s="19"/>
      <c r="G8" s="16" t="str">
        <f aca="false">IF(F8="","",D8*IF(F8="우수",1,IF(F8="양호",0.8,IF(F8="보완",0.6,IF(F8="일부미흡",0.5,IF(F8="다수미흡",0.25,0))))))</f>
        <v/>
      </c>
      <c r="H8" s="20"/>
      <c r="I8" s="20"/>
      <c r="J8" s="19"/>
    </row>
    <row r="9" customFormat="false" ht="26.85" hidden="false" customHeight="false" outlineLevel="0" collapsed="false">
      <c r="A9" s="21" t="s">
        <v>48</v>
      </c>
      <c r="B9" s="22" t="s">
        <v>49</v>
      </c>
      <c r="C9" s="23"/>
      <c r="D9" s="21" t="n">
        <f aca="false">SUM(D4:D8)</f>
        <v>120</v>
      </c>
      <c r="E9" s="23"/>
      <c r="F9" s="23"/>
      <c r="G9" s="21" t="n">
        <f aca="false">SUM(G4:G8)</f>
        <v>0</v>
      </c>
      <c r="H9" s="23"/>
      <c r="I9" s="23"/>
      <c r="J9" s="23"/>
    </row>
    <row r="10" customFormat="false" ht="21.75" hidden="false" customHeight="true" outlineLevel="0" collapsed="false">
      <c r="A10" s="16" t="s">
        <v>50</v>
      </c>
      <c r="B10" s="17" t="s">
        <v>51</v>
      </c>
      <c r="C10" s="18" t="s">
        <v>52</v>
      </c>
      <c r="D10" s="16" t="n">
        <v>40</v>
      </c>
      <c r="E10" s="19"/>
      <c r="F10" s="19"/>
      <c r="G10" s="16" t="str">
        <f aca="false">IF(F10="","",D10*IF(F10="우수",1,IF(F10="양호",0.8,IF(F10="보완",0.6,IF(F10="일부미흡",0.5,IF(F10="다수미흡",0.25,0))))))</f>
        <v/>
      </c>
      <c r="H10" s="20"/>
      <c r="I10" s="20"/>
      <c r="J10" s="19"/>
    </row>
    <row r="11" customFormat="false" ht="21.75" hidden="false" customHeight="true" outlineLevel="0" collapsed="false">
      <c r="A11" s="16" t="s">
        <v>53</v>
      </c>
      <c r="B11" s="17" t="s">
        <v>51</v>
      </c>
      <c r="C11" s="18" t="s">
        <v>54</v>
      </c>
      <c r="D11" s="16" t="n">
        <v>30</v>
      </c>
      <c r="E11" s="19"/>
      <c r="F11" s="19"/>
      <c r="G11" s="16" t="str">
        <f aca="false">IF(F11="","",D11*IF(F11="우수",1,IF(F11="양호",0.8,IF(F11="보완",0.6,IF(F11="일부미흡",0.5,IF(F11="다수미흡",0.25,0))))))</f>
        <v/>
      </c>
      <c r="H11" s="20"/>
      <c r="I11" s="20"/>
      <c r="J11" s="19"/>
    </row>
    <row r="12" customFormat="false" ht="21.75" hidden="false" customHeight="true" outlineLevel="0" collapsed="false">
      <c r="A12" s="16" t="s">
        <v>55</v>
      </c>
      <c r="B12" s="17" t="s">
        <v>51</v>
      </c>
      <c r="C12" s="18" t="s">
        <v>56</v>
      </c>
      <c r="D12" s="16" t="n">
        <v>20</v>
      </c>
      <c r="E12" s="19"/>
      <c r="F12" s="19"/>
      <c r="G12" s="16" t="str">
        <f aca="false">IF(F12="","",D12*IF(F12="우수",1,IF(F12="양호",0.8,IF(F12="보완",0.6,IF(F12="일부미흡",0.5,IF(F12="다수미흡",0.25,0))))))</f>
        <v/>
      </c>
      <c r="H12" s="20"/>
      <c r="I12" s="20"/>
      <c r="J12" s="19"/>
    </row>
    <row r="13" customFormat="false" ht="21.75" hidden="false" customHeight="true" outlineLevel="0" collapsed="false">
      <c r="A13" s="16" t="s">
        <v>57</v>
      </c>
      <c r="B13" s="17" t="s">
        <v>51</v>
      </c>
      <c r="C13" s="18" t="s">
        <v>58</v>
      </c>
      <c r="D13" s="16" t="n">
        <v>30</v>
      </c>
      <c r="E13" s="19"/>
      <c r="F13" s="19"/>
      <c r="G13" s="16" t="str">
        <f aca="false">IF(F13="","",D13*IF(F13="우수",1,IF(F13="양호",0.8,IF(F13="보완",0.6,IF(F13="일부미흡",0.5,IF(F13="다수미흡",0.25,0))))))</f>
        <v/>
      </c>
      <c r="H13" s="20"/>
      <c r="I13" s="20"/>
      <c r="J13" s="19"/>
    </row>
    <row r="14" customFormat="false" ht="21.75" hidden="false" customHeight="true" outlineLevel="0" collapsed="false">
      <c r="A14" s="16" t="s">
        <v>59</v>
      </c>
      <c r="B14" s="17" t="s">
        <v>51</v>
      </c>
      <c r="C14" s="18" t="s">
        <v>60</v>
      </c>
      <c r="D14" s="16" t="n">
        <v>20</v>
      </c>
      <c r="E14" s="19"/>
      <c r="F14" s="19"/>
      <c r="G14" s="16" t="str">
        <f aca="false">IF(F14="","",D14*IF(F14="우수",1,IF(F14="양호",0.8,IF(F14="보완",0.6,IF(F14="일부미흡",0.5,IF(F14="다수미흡",0.25,0))))))</f>
        <v/>
      </c>
      <c r="H14" s="20"/>
      <c r="I14" s="20"/>
      <c r="J14" s="19"/>
    </row>
    <row r="15" customFormat="false" ht="21.75" hidden="false" customHeight="true" outlineLevel="0" collapsed="false">
      <c r="A15" s="16" t="s">
        <v>61</v>
      </c>
      <c r="B15" s="17" t="s">
        <v>51</v>
      </c>
      <c r="C15" s="18" t="s">
        <v>62</v>
      </c>
      <c r="D15" s="16" t="n">
        <v>20</v>
      </c>
      <c r="E15" s="19"/>
      <c r="F15" s="19"/>
      <c r="G15" s="16" t="str">
        <f aca="false">IF(F15="","",D15*IF(F15="우수",1,IF(F15="양호",0.8,IF(F15="보완",0.6,IF(F15="일부미흡",0.5,IF(F15="다수미흡",0.25,0))))))</f>
        <v/>
      </c>
      <c r="H15" s="20"/>
      <c r="I15" s="20"/>
      <c r="J15" s="19"/>
    </row>
    <row r="16" customFormat="false" ht="21.75" hidden="false" customHeight="true" outlineLevel="0" collapsed="false">
      <c r="A16" s="16" t="s">
        <v>63</v>
      </c>
      <c r="B16" s="17" t="s">
        <v>51</v>
      </c>
      <c r="C16" s="18" t="s">
        <v>64</v>
      </c>
      <c r="D16" s="16" t="n">
        <v>50</v>
      </c>
      <c r="E16" s="19"/>
      <c r="F16" s="19"/>
      <c r="G16" s="16" t="str">
        <f aca="false">IF(F16="","",D16*IF(F16="우수",1,IF(F16="양호",0.8,IF(F16="보완",0.6,IF(F16="일부미흡",0.5,IF(F16="다수미흡",0.25,0))))))</f>
        <v/>
      </c>
      <c r="H16" s="20"/>
      <c r="I16" s="20"/>
      <c r="J16" s="19"/>
    </row>
    <row r="17" customFormat="false" ht="21.75" hidden="false" customHeight="true" outlineLevel="0" collapsed="false">
      <c r="A17" s="16" t="s">
        <v>65</v>
      </c>
      <c r="B17" s="17" t="s">
        <v>51</v>
      </c>
      <c r="C17" s="18" t="s">
        <v>66</v>
      </c>
      <c r="D17" s="16" t="n">
        <v>50</v>
      </c>
      <c r="E17" s="19"/>
      <c r="F17" s="19"/>
      <c r="G17" s="16" t="str">
        <f aca="false">IF(F17="","",D17*IF(F17="우수",1,IF(F17="양호",0.8,IF(F17="보완",0.6,IF(F17="일부미흡",0.5,IF(F17="다수미흡",0.25,0))))))</f>
        <v/>
      </c>
      <c r="H17" s="20"/>
      <c r="I17" s="20"/>
      <c r="J17" s="19"/>
    </row>
    <row r="18" customFormat="false" ht="21.75" hidden="false" customHeight="true" outlineLevel="0" collapsed="false">
      <c r="A18" s="16" t="s">
        <v>67</v>
      </c>
      <c r="B18" s="17" t="s">
        <v>51</v>
      </c>
      <c r="C18" s="18" t="s">
        <v>68</v>
      </c>
      <c r="D18" s="16" t="n">
        <v>50</v>
      </c>
      <c r="E18" s="19"/>
      <c r="F18" s="19"/>
      <c r="G18" s="16" t="str">
        <f aca="false">IF(F18="","",D18*IF(F18="우수",1,IF(F18="양호",0.8,IF(F18="보완",0.6,IF(F18="일부미흡",0.5,IF(F18="다수미흡",0.25,0))))))</f>
        <v/>
      </c>
      <c r="H18" s="20"/>
      <c r="I18" s="20"/>
      <c r="J18" s="19"/>
    </row>
    <row r="19" customFormat="false" ht="15" hidden="false" customHeight="false" outlineLevel="0" collapsed="false">
      <c r="A19" s="21" t="s">
        <v>48</v>
      </c>
      <c r="B19" s="22" t="s">
        <v>69</v>
      </c>
      <c r="C19" s="23"/>
      <c r="D19" s="21" t="n">
        <f aca="false">SUM(D10:D18)</f>
        <v>310</v>
      </c>
      <c r="E19" s="23"/>
      <c r="F19" s="23"/>
      <c r="G19" s="21" t="n">
        <f aca="false">SUM(G10:G18)</f>
        <v>0</v>
      </c>
      <c r="H19" s="23"/>
      <c r="I19" s="23"/>
      <c r="J19" s="23"/>
    </row>
    <row r="20" customFormat="false" ht="21.75" hidden="false" customHeight="true" outlineLevel="0" collapsed="false">
      <c r="A20" s="16" t="s">
        <v>70</v>
      </c>
      <c r="B20" s="17" t="s">
        <v>71</v>
      </c>
      <c r="C20" s="18" t="s">
        <v>72</v>
      </c>
      <c r="D20" s="16" t="n">
        <v>30</v>
      </c>
      <c r="E20" s="19"/>
      <c r="F20" s="19"/>
      <c r="G20" s="16" t="str">
        <f aca="false">IF(F20="","",D20*IF(F20="우수",1,IF(F20="양호",0.8,IF(F20="보완",0.6,IF(F20="일부미흡",0.5,IF(F20="다수미흡",0.25,0))))))</f>
        <v/>
      </c>
      <c r="H20" s="20"/>
      <c r="I20" s="20"/>
      <c r="J20" s="19"/>
    </row>
    <row r="21" customFormat="false" ht="21.75" hidden="false" customHeight="true" outlineLevel="0" collapsed="false">
      <c r="A21" s="16" t="s">
        <v>73</v>
      </c>
      <c r="B21" s="17" t="s">
        <v>71</v>
      </c>
      <c r="C21" s="18" t="s">
        <v>74</v>
      </c>
      <c r="D21" s="16" t="n">
        <v>30</v>
      </c>
      <c r="E21" s="19"/>
      <c r="F21" s="19"/>
      <c r="G21" s="16" t="str">
        <f aca="false">IF(F21="","",D21*IF(F21="우수",1,IF(F21="양호",0.8,IF(F21="보완",0.6,IF(F21="일부미흡",0.5,IF(F21="다수미흡",0.25,0))))))</f>
        <v/>
      </c>
      <c r="H21" s="20"/>
      <c r="I21" s="20"/>
      <c r="J21" s="19"/>
    </row>
    <row r="22" customFormat="false" ht="21.75" hidden="false" customHeight="true" outlineLevel="0" collapsed="false">
      <c r="A22" s="16" t="s">
        <v>75</v>
      </c>
      <c r="B22" s="17" t="s">
        <v>71</v>
      </c>
      <c r="C22" s="18" t="s">
        <v>76</v>
      </c>
      <c r="D22" s="16" t="n">
        <v>20</v>
      </c>
      <c r="E22" s="19"/>
      <c r="F22" s="19"/>
      <c r="G22" s="16" t="str">
        <f aca="false">IF(F22="","",D22*IF(F22="우수",1,IF(F22="양호",0.8,IF(F22="보완",0.6,IF(F22="일부미흡",0.5,IF(F22="다수미흡",0.25,0))))))</f>
        <v/>
      </c>
      <c r="H22" s="20"/>
      <c r="I22" s="20"/>
      <c r="J22" s="19"/>
    </row>
    <row r="23" customFormat="false" ht="21.75" hidden="false" customHeight="true" outlineLevel="0" collapsed="false">
      <c r="A23" s="16" t="s">
        <v>77</v>
      </c>
      <c r="B23" s="17" t="s">
        <v>71</v>
      </c>
      <c r="C23" s="18" t="s">
        <v>78</v>
      </c>
      <c r="D23" s="16" t="n">
        <v>30</v>
      </c>
      <c r="E23" s="19"/>
      <c r="F23" s="19"/>
      <c r="G23" s="16" t="str">
        <f aca="false">IF(F23="","",D23*IF(F23="우수",1,IF(F23="양호",0.8,IF(F23="보완",0.6,IF(F23="일부미흡",0.5,IF(F23="다수미흡",0.25,0))))))</f>
        <v/>
      </c>
      <c r="H23" s="20"/>
      <c r="I23" s="20"/>
      <c r="J23" s="19"/>
    </row>
    <row r="24" customFormat="false" ht="21.75" hidden="false" customHeight="true" outlineLevel="0" collapsed="false">
      <c r="A24" s="16" t="s">
        <v>79</v>
      </c>
      <c r="B24" s="17" t="s">
        <v>71</v>
      </c>
      <c r="C24" s="18" t="s">
        <v>80</v>
      </c>
      <c r="D24" s="16" t="n">
        <v>20</v>
      </c>
      <c r="E24" s="19"/>
      <c r="F24" s="19"/>
      <c r="G24" s="16" t="str">
        <f aca="false">IF(F24="","",D24*IF(F24="우수",1,IF(F24="양호",0.8,IF(F24="보완",0.6,IF(F24="일부미흡",0.5,IF(F24="다수미흡",0.25,0))))))</f>
        <v/>
      </c>
      <c r="H24" s="20"/>
      <c r="I24" s="20"/>
      <c r="J24" s="19"/>
    </row>
    <row r="25" customFormat="false" ht="21.75" hidden="false" customHeight="true" outlineLevel="0" collapsed="false">
      <c r="A25" s="16" t="s">
        <v>81</v>
      </c>
      <c r="B25" s="17" t="s">
        <v>71</v>
      </c>
      <c r="C25" s="18" t="s">
        <v>82</v>
      </c>
      <c r="D25" s="16" t="n">
        <v>30</v>
      </c>
      <c r="E25" s="19"/>
      <c r="F25" s="19"/>
      <c r="G25" s="16" t="str">
        <f aca="false">IF(F25="","",D25*IF(F25="우수",1,IF(F25="양호",0.8,IF(F25="보완",0.6,IF(F25="일부미흡",0.5,IF(F25="다수미흡",0.25,0))))))</f>
        <v/>
      </c>
      <c r="H25" s="20"/>
      <c r="I25" s="20"/>
      <c r="J25" s="19"/>
    </row>
    <row r="26" customFormat="false" ht="21.75" hidden="false" customHeight="true" outlineLevel="0" collapsed="false">
      <c r="A26" s="16" t="s">
        <v>83</v>
      </c>
      <c r="B26" s="17" t="s">
        <v>71</v>
      </c>
      <c r="C26" s="18" t="s">
        <v>84</v>
      </c>
      <c r="D26" s="16" t="n">
        <v>20</v>
      </c>
      <c r="E26" s="19"/>
      <c r="F26" s="19"/>
      <c r="G26" s="16" t="str">
        <f aca="false">IF(F26="","",D26*IF(F26="우수",1,IF(F26="양호",0.8,IF(F26="보완",0.6,IF(F26="일부미흡",0.5,IF(F26="다수미흡",0.25,0))))))</f>
        <v/>
      </c>
      <c r="H26" s="20"/>
      <c r="I26" s="20"/>
      <c r="J26" s="19"/>
    </row>
    <row r="27" customFormat="false" ht="15" hidden="false" customHeight="false" outlineLevel="0" collapsed="false">
      <c r="A27" s="21" t="s">
        <v>48</v>
      </c>
      <c r="B27" s="22" t="s">
        <v>85</v>
      </c>
      <c r="C27" s="23"/>
      <c r="D27" s="21" t="n">
        <f aca="false">SUM(D20:D26)</f>
        <v>180</v>
      </c>
      <c r="E27" s="23"/>
      <c r="F27" s="23"/>
      <c r="G27" s="21" t="n">
        <f aca="false">SUM(G20:G26)</f>
        <v>0</v>
      </c>
      <c r="H27" s="23"/>
      <c r="I27" s="23"/>
      <c r="J27" s="23"/>
    </row>
    <row r="28" customFormat="false" ht="21.75" hidden="false" customHeight="true" outlineLevel="0" collapsed="false">
      <c r="A28" s="16" t="s">
        <v>86</v>
      </c>
      <c r="B28" s="17" t="s">
        <v>87</v>
      </c>
      <c r="C28" s="18" t="s">
        <v>88</v>
      </c>
      <c r="D28" s="16" t="n">
        <v>30</v>
      </c>
      <c r="E28" s="19"/>
      <c r="F28" s="19"/>
      <c r="G28" s="16" t="str">
        <f aca="false">IF(F28="","",D28*IF(F28="우수",1,IF(F28="양호",0.8,IF(F28="보완",0.6,IF(F28="일부미흡",0.5,IF(F28="다수미흡",0.25,0))))))</f>
        <v/>
      </c>
      <c r="H28" s="20"/>
      <c r="I28" s="20"/>
      <c r="J28" s="19"/>
    </row>
    <row r="29" customFormat="false" ht="21.75" hidden="false" customHeight="true" outlineLevel="0" collapsed="false">
      <c r="A29" s="16" t="s">
        <v>89</v>
      </c>
      <c r="B29" s="17" t="s">
        <v>87</v>
      </c>
      <c r="C29" s="18" t="s">
        <v>90</v>
      </c>
      <c r="D29" s="16" t="n">
        <v>30</v>
      </c>
      <c r="E29" s="19"/>
      <c r="F29" s="19"/>
      <c r="G29" s="16" t="str">
        <f aca="false">IF(F29="","",D29*IF(F29="우수",1,IF(F29="양호",0.8,IF(F29="보완",0.6,IF(F29="일부미흡",0.5,IF(F29="다수미흡",0.25,0))))))</f>
        <v/>
      </c>
      <c r="H29" s="20"/>
      <c r="I29" s="20"/>
      <c r="J29" s="19"/>
    </row>
    <row r="30" customFormat="false" ht="21.75" hidden="false" customHeight="true" outlineLevel="0" collapsed="false">
      <c r="A30" s="16" t="s">
        <v>91</v>
      </c>
      <c r="B30" s="17" t="s">
        <v>87</v>
      </c>
      <c r="C30" s="18" t="s">
        <v>92</v>
      </c>
      <c r="D30" s="16" t="n">
        <v>20</v>
      </c>
      <c r="E30" s="19"/>
      <c r="F30" s="19"/>
      <c r="G30" s="16" t="str">
        <f aca="false">IF(F30="","",D30*IF(F30="우수",1,IF(F30="양호",0.8,IF(F30="보완",0.6,IF(F30="일부미흡",0.5,IF(F30="다수미흡",0.25,0))))))</f>
        <v/>
      </c>
      <c r="H30" s="20"/>
      <c r="I30" s="20"/>
      <c r="J30" s="19"/>
    </row>
    <row r="31" customFormat="false" ht="21.75" hidden="false" customHeight="true" outlineLevel="0" collapsed="false">
      <c r="A31" s="16" t="s">
        <v>93</v>
      </c>
      <c r="B31" s="17" t="s">
        <v>87</v>
      </c>
      <c r="C31" s="18" t="s">
        <v>94</v>
      </c>
      <c r="D31" s="16" t="n">
        <v>10</v>
      </c>
      <c r="E31" s="19"/>
      <c r="F31" s="19"/>
      <c r="G31" s="16" t="str">
        <f aca="false">IF(F31="","",D31*IF(F31="우수",1,IF(F31="양호",0.8,IF(F31="보완",0.6,IF(F31="일부미흡",0.5,IF(F31="다수미흡",0.25,0))))))</f>
        <v/>
      </c>
      <c r="H31" s="20"/>
      <c r="I31" s="20"/>
      <c r="J31" s="19"/>
    </row>
    <row r="32" customFormat="false" ht="21.75" hidden="false" customHeight="true" outlineLevel="0" collapsed="false">
      <c r="A32" s="16" t="s">
        <v>95</v>
      </c>
      <c r="B32" s="17" t="s">
        <v>87</v>
      </c>
      <c r="C32" s="18" t="s">
        <v>96</v>
      </c>
      <c r="D32" s="16" t="n">
        <v>10</v>
      </c>
      <c r="E32" s="19"/>
      <c r="F32" s="19"/>
      <c r="G32" s="16" t="str">
        <f aca="false">IF(F32="","",D32*IF(F32="우수",1,IF(F32="양호",0.8,IF(F32="보완",0.6,IF(F32="일부미흡",0.5,IF(F32="다수미흡",0.25,0))))))</f>
        <v/>
      </c>
      <c r="H32" s="20"/>
      <c r="I32" s="20"/>
      <c r="J32" s="19"/>
    </row>
    <row r="33" customFormat="false" ht="15" hidden="false" customHeight="false" outlineLevel="0" collapsed="false">
      <c r="A33" s="21" t="s">
        <v>48</v>
      </c>
      <c r="B33" s="22" t="s">
        <v>97</v>
      </c>
      <c r="C33" s="23"/>
      <c r="D33" s="21" t="n">
        <f aca="false">SUM(D28:D32)</f>
        <v>100</v>
      </c>
      <c r="E33" s="23"/>
      <c r="F33" s="23"/>
      <c r="G33" s="21" t="n">
        <f aca="false">SUM(G28:G32)</f>
        <v>0</v>
      </c>
      <c r="H33" s="23"/>
      <c r="I33" s="23"/>
      <c r="J33" s="23"/>
    </row>
    <row r="34" customFormat="false" ht="21.75" hidden="false" customHeight="true" outlineLevel="0" collapsed="false">
      <c r="A34" s="16" t="s">
        <v>98</v>
      </c>
      <c r="B34" s="17" t="s">
        <v>99</v>
      </c>
      <c r="C34" s="24" t="s">
        <v>100</v>
      </c>
      <c r="D34" s="16" t="n">
        <v>30</v>
      </c>
      <c r="E34" s="19"/>
      <c r="F34" s="19"/>
      <c r="G34" s="16" t="str">
        <f aca="false">IF(F34="","",D34*IF(F34="우수",1,IF(F34="양호",0.8,IF(F34="보완",0.6,IF(F34="일부미흡",0.5,IF(F34="다수미흡",0.25,0))))))</f>
        <v/>
      </c>
      <c r="H34" s="20"/>
      <c r="I34" s="20"/>
      <c r="J34" s="19"/>
    </row>
    <row r="35" customFormat="false" ht="21.75" hidden="false" customHeight="true" outlineLevel="0" collapsed="false">
      <c r="A35" s="16" t="s">
        <v>101</v>
      </c>
      <c r="B35" s="17" t="s">
        <v>99</v>
      </c>
      <c r="C35" s="18" t="s">
        <v>102</v>
      </c>
      <c r="D35" s="16" t="n">
        <v>20</v>
      </c>
      <c r="E35" s="19"/>
      <c r="F35" s="19"/>
      <c r="G35" s="16" t="str">
        <f aca="false">IF(F35="","",D35*IF(F35="우수",1,IF(F35="양호",0.8,IF(F35="보완",0.6,IF(F35="일부미흡",0.5,IF(F35="다수미흡",0.25,0))))))</f>
        <v/>
      </c>
      <c r="H35" s="20"/>
      <c r="I35" s="20"/>
      <c r="J35" s="19"/>
    </row>
    <row r="36" customFormat="false" ht="21.75" hidden="false" customHeight="true" outlineLevel="0" collapsed="false">
      <c r="A36" s="16" t="s">
        <v>103</v>
      </c>
      <c r="B36" s="17" t="s">
        <v>99</v>
      </c>
      <c r="C36" s="18" t="s">
        <v>104</v>
      </c>
      <c r="D36" s="16" t="n">
        <v>20</v>
      </c>
      <c r="E36" s="19"/>
      <c r="F36" s="19"/>
      <c r="G36" s="16" t="str">
        <f aca="false">IF(F36="","",D36*IF(F36="우수",1,IF(F36="양호",0.8,IF(F36="보완",0.6,IF(F36="일부미흡",0.5,IF(F36="다수미흡",0.25,0))))))</f>
        <v/>
      </c>
      <c r="H36" s="20"/>
      <c r="I36" s="20"/>
      <c r="J36" s="19"/>
    </row>
    <row r="37" customFormat="false" ht="21.75" hidden="false" customHeight="true" outlineLevel="0" collapsed="false">
      <c r="A37" s="16" t="s">
        <v>105</v>
      </c>
      <c r="B37" s="17" t="s">
        <v>99</v>
      </c>
      <c r="C37" s="18" t="s">
        <v>106</v>
      </c>
      <c r="D37" s="16" t="n">
        <v>20</v>
      </c>
      <c r="E37" s="19"/>
      <c r="F37" s="19"/>
      <c r="G37" s="16" t="str">
        <f aca="false">IF(F37="","",D37*IF(F37="우수",1,IF(F37="양호",0.8,IF(F37="보완",0.6,IF(F37="일부미흡",0.5,IF(F37="다수미흡",0.25,0))))))</f>
        <v/>
      </c>
      <c r="H37" s="20"/>
      <c r="I37" s="20"/>
      <c r="J37" s="19"/>
    </row>
    <row r="38" customFormat="false" ht="15" hidden="false" customHeight="false" outlineLevel="0" collapsed="false">
      <c r="A38" s="21" t="s">
        <v>48</v>
      </c>
      <c r="B38" s="22" t="s">
        <v>107</v>
      </c>
      <c r="C38" s="23"/>
      <c r="D38" s="21" t="n">
        <f aca="false">SUM(D34:D37)</f>
        <v>90</v>
      </c>
      <c r="E38" s="23"/>
      <c r="F38" s="23"/>
      <c r="G38" s="21" t="n">
        <f aca="false">SUM(G34:G37)</f>
        <v>0</v>
      </c>
      <c r="H38" s="23"/>
      <c r="I38" s="23"/>
      <c r="J38" s="23"/>
    </row>
    <row r="39" customFormat="false" ht="21.75" hidden="false" customHeight="true" outlineLevel="0" collapsed="false">
      <c r="A39" s="16" t="s">
        <v>108</v>
      </c>
      <c r="B39" s="17" t="s">
        <v>109</v>
      </c>
      <c r="C39" s="18" t="s">
        <v>110</v>
      </c>
      <c r="D39" s="16" t="n">
        <v>30</v>
      </c>
      <c r="E39" s="19"/>
      <c r="F39" s="19"/>
      <c r="G39" s="16" t="str">
        <f aca="false">IF(F39="","",D39*IF(F39="우수",1,IF(F39="양호",0.8,IF(F39="보완",0.6,IF(F39="일부미흡",0.5,IF(F39="다수미흡",0.25,0))))))</f>
        <v/>
      </c>
      <c r="H39" s="20"/>
      <c r="I39" s="20"/>
      <c r="J39" s="19"/>
    </row>
    <row r="40" customFormat="false" ht="21.75" hidden="false" customHeight="true" outlineLevel="0" collapsed="false">
      <c r="A40" s="16" t="s">
        <v>111</v>
      </c>
      <c r="B40" s="17" t="s">
        <v>109</v>
      </c>
      <c r="C40" s="18" t="s">
        <v>112</v>
      </c>
      <c r="D40" s="16" t="n">
        <v>20</v>
      </c>
      <c r="E40" s="19"/>
      <c r="F40" s="19"/>
      <c r="G40" s="16" t="str">
        <f aca="false">IF(F40="","",D40*IF(F40="우수",1,IF(F40="양호",0.8,IF(F40="보완",0.6,IF(F40="일부미흡",0.5,IF(F40="다수미흡",0.25,0))))))</f>
        <v/>
      </c>
      <c r="H40" s="20"/>
      <c r="I40" s="20"/>
      <c r="J40" s="19"/>
    </row>
    <row r="41" customFormat="false" ht="21.75" hidden="false" customHeight="true" outlineLevel="0" collapsed="false">
      <c r="A41" s="16" t="s">
        <v>113</v>
      </c>
      <c r="B41" s="17" t="s">
        <v>109</v>
      </c>
      <c r="C41" s="18" t="s">
        <v>114</v>
      </c>
      <c r="D41" s="16" t="n">
        <v>20</v>
      </c>
      <c r="E41" s="19"/>
      <c r="F41" s="19"/>
      <c r="G41" s="16" t="str">
        <f aca="false">IF(F41="","",D41*IF(F41="우수",1,IF(F41="양호",0.8,IF(F41="보완",0.6,IF(F41="일부미흡",0.5,IF(F41="다수미흡",0.25,0))))))</f>
        <v/>
      </c>
      <c r="H41" s="20"/>
      <c r="I41" s="20"/>
      <c r="J41" s="19"/>
    </row>
    <row r="42" customFormat="false" ht="21.75" hidden="false" customHeight="true" outlineLevel="0" collapsed="false">
      <c r="A42" s="16" t="s">
        <v>115</v>
      </c>
      <c r="B42" s="17" t="s">
        <v>109</v>
      </c>
      <c r="C42" s="18" t="s">
        <v>116</v>
      </c>
      <c r="D42" s="16" t="n">
        <v>10</v>
      </c>
      <c r="E42" s="19"/>
      <c r="F42" s="19"/>
      <c r="G42" s="16" t="str">
        <f aca="false">IF(F42="","",D42*IF(F42="우수",1,IF(F42="양호",0.8,IF(F42="보완",0.6,IF(F42="일부미흡",0.5,IF(F42="다수미흡",0.25,0))))))</f>
        <v/>
      </c>
      <c r="H42" s="20"/>
      <c r="I42" s="20"/>
      <c r="J42" s="19"/>
    </row>
    <row r="43" customFormat="false" ht="21.75" hidden="false" customHeight="true" outlineLevel="0" collapsed="false">
      <c r="A43" s="16" t="s">
        <v>117</v>
      </c>
      <c r="B43" s="17" t="s">
        <v>109</v>
      </c>
      <c r="C43" s="18" t="s">
        <v>118</v>
      </c>
      <c r="D43" s="16" t="n">
        <v>20</v>
      </c>
      <c r="E43" s="19"/>
      <c r="F43" s="19"/>
      <c r="G43" s="16" t="str">
        <f aca="false">IF(F43="","",D43*IF(F43="우수",1,IF(F43="양호",0.8,IF(F43="보완",0.6,IF(F43="일부미흡",0.5,IF(F43="다수미흡",0.25,0))))))</f>
        <v/>
      </c>
      <c r="H43" s="20"/>
      <c r="I43" s="20"/>
      <c r="J43" s="19"/>
    </row>
    <row r="44" customFormat="false" ht="21.75" hidden="false" customHeight="true" outlineLevel="0" collapsed="false">
      <c r="A44" s="16" t="s">
        <v>119</v>
      </c>
      <c r="B44" s="17" t="s">
        <v>109</v>
      </c>
      <c r="C44" s="18" t="s">
        <v>120</v>
      </c>
      <c r="D44" s="16" t="n">
        <v>20</v>
      </c>
      <c r="E44" s="19"/>
      <c r="F44" s="19"/>
      <c r="G44" s="16" t="str">
        <f aca="false">IF(F44="","",D44*IF(F44="우수",1,IF(F44="양호",0.8,IF(F44="보완",0.6,IF(F44="일부미흡",0.5,IF(F44="다수미흡",0.25,0))))))</f>
        <v/>
      </c>
      <c r="H44" s="20"/>
      <c r="I44" s="20"/>
      <c r="J44" s="19"/>
    </row>
    <row r="45" customFormat="false" ht="21.75" hidden="false" customHeight="true" outlineLevel="0" collapsed="false">
      <c r="A45" s="16" t="s">
        <v>121</v>
      </c>
      <c r="B45" s="17" t="s">
        <v>109</v>
      </c>
      <c r="C45" s="18" t="s">
        <v>122</v>
      </c>
      <c r="D45" s="16" t="n">
        <v>20</v>
      </c>
      <c r="E45" s="19"/>
      <c r="F45" s="19"/>
      <c r="G45" s="16" t="str">
        <f aca="false">IF(F45="","",D45*IF(F45="우수",1,IF(F45="양호",0.8,IF(F45="보완",0.6,IF(F45="일부미흡",0.5,IF(F45="다수미흡",0.25,0))))))</f>
        <v/>
      </c>
      <c r="H45" s="20"/>
      <c r="I45" s="20"/>
      <c r="J45" s="19"/>
    </row>
    <row r="46" customFormat="false" ht="21.75" hidden="false" customHeight="true" outlineLevel="0" collapsed="false">
      <c r="A46" s="16" t="s">
        <v>123</v>
      </c>
      <c r="B46" s="17" t="s">
        <v>109</v>
      </c>
      <c r="C46" s="18" t="s">
        <v>124</v>
      </c>
      <c r="D46" s="16" t="n">
        <v>10</v>
      </c>
      <c r="E46" s="19"/>
      <c r="F46" s="19"/>
      <c r="G46" s="16" t="str">
        <f aca="false">IF(F46="","",D46*IF(F46="우수",1,IF(F46="양호",0.8,IF(F46="보완",0.6,IF(F46="일부미흡",0.5,IF(F46="다수미흡",0.25,0))))))</f>
        <v/>
      </c>
      <c r="H46" s="20"/>
      <c r="I46" s="20"/>
      <c r="J46" s="19"/>
    </row>
    <row r="47" customFormat="false" ht="21.75" hidden="false" customHeight="true" outlineLevel="0" collapsed="false">
      <c r="A47" s="16" t="s">
        <v>125</v>
      </c>
      <c r="B47" s="17" t="s">
        <v>109</v>
      </c>
      <c r="C47" s="24" t="s">
        <v>126</v>
      </c>
      <c r="D47" s="16" t="n">
        <v>10</v>
      </c>
      <c r="E47" s="19"/>
      <c r="F47" s="19"/>
      <c r="G47" s="16" t="str">
        <f aca="false">IF(F47="","",D47*IF(F47="우수",1,IF(F47="양호",0.8,IF(F47="보완",0.6,IF(F47="일부미흡",0.5,IF(F47="다수미흡",0.25,0))))))</f>
        <v/>
      </c>
      <c r="H47" s="20"/>
      <c r="I47" s="20"/>
      <c r="J47" s="19"/>
    </row>
    <row r="48" customFormat="false" ht="21.75" hidden="false" customHeight="true" outlineLevel="0" collapsed="false">
      <c r="A48" s="16" t="s">
        <v>127</v>
      </c>
      <c r="B48" s="17" t="s">
        <v>109</v>
      </c>
      <c r="C48" s="18" t="s">
        <v>128</v>
      </c>
      <c r="D48" s="16" t="n">
        <v>10</v>
      </c>
      <c r="E48" s="19"/>
      <c r="F48" s="19"/>
      <c r="G48" s="16" t="str">
        <f aca="false">IF(F48="","",D48*IF(F48="우수",1,IF(F48="양호",0.8,IF(F48="보완",0.6,IF(F48="일부미흡",0.5,IF(F48="다수미흡",0.25,0))))))</f>
        <v/>
      </c>
      <c r="H48" s="20"/>
      <c r="I48" s="20"/>
      <c r="J48" s="19"/>
    </row>
    <row r="49" customFormat="false" ht="21.75" hidden="false" customHeight="true" outlineLevel="0" collapsed="false">
      <c r="A49" s="16" t="s">
        <v>129</v>
      </c>
      <c r="B49" s="17" t="s">
        <v>109</v>
      </c>
      <c r="C49" s="18" t="s">
        <v>130</v>
      </c>
      <c r="D49" s="16" t="n">
        <v>10</v>
      </c>
      <c r="E49" s="19"/>
      <c r="F49" s="19"/>
      <c r="G49" s="16" t="str">
        <f aca="false">IF(F49="","",D49*IF(F49="우수",1,IF(F49="양호",0.8,IF(F49="보완",0.6,IF(F49="일부미흡",0.5,IF(F49="다수미흡",0.25,0))))))</f>
        <v/>
      </c>
      <c r="H49" s="20"/>
      <c r="I49" s="20"/>
      <c r="J49" s="19"/>
    </row>
    <row r="50" customFormat="false" ht="21.75" hidden="false" customHeight="true" outlineLevel="0" collapsed="false">
      <c r="A50" s="16" t="s">
        <v>131</v>
      </c>
      <c r="B50" s="17" t="s">
        <v>109</v>
      </c>
      <c r="C50" s="18" t="s">
        <v>132</v>
      </c>
      <c r="D50" s="16" t="n">
        <v>20</v>
      </c>
      <c r="E50" s="19"/>
      <c r="F50" s="19"/>
      <c r="G50" s="16" t="str">
        <f aca="false">IF(F50="","",D50*IF(F50="우수",1,IF(F50="양호",0.8,IF(F50="보완",0.6,IF(F50="일부미흡",0.5,IF(F50="다수미흡",0.25,0))))))</f>
        <v/>
      </c>
      <c r="H50" s="20"/>
      <c r="I50" s="20"/>
      <c r="J50" s="19"/>
    </row>
    <row r="51" customFormat="false" ht="26.85" hidden="false" customHeight="false" outlineLevel="0" collapsed="false">
      <c r="A51" s="21" t="s">
        <v>48</v>
      </c>
      <c r="B51" s="22" t="s">
        <v>133</v>
      </c>
      <c r="C51" s="23"/>
      <c r="D51" s="21" t="n">
        <f aca="false">SUM(D39:D50)</f>
        <v>200</v>
      </c>
      <c r="E51" s="23"/>
      <c r="F51" s="23"/>
      <c r="G51" s="21" t="n">
        <f aca="false">SUM(G39:G50)</f>
        <v>0</v>
      </c>
      <c r="H51" s="23"/>
      <c r="I51" s="23"/>
      <c r="J51" s="23"/>
    </row>
    <row r="52" customFormat="false" ht="15" hidden="false" customHeight="false" outlineLevel="0" collapsed="false">
      <c r="A52" s="25" t="s">
        <v>134</v>
      </c>
      <c r="B52" s="26" t="s">
        <v>135</v>
      </c>
      <c r="C52" s="27"/>
      <c r="D52" s="26" t="n">
        <f aca="false">D9+D19+D27+D33+D38+D51</f>
        <v>1000</v>
      </c>
      <c r="E52" s="27"/>
      <c r="F52" s="27"/>
      <c r="G52" s="26" t="n">
        <f aca="false">G9+G19+G27+G33+G38+G51</f>
        <v>0</v>
      </c>
      <c r="H52" s="27"/>
      <c r="I52" s="27"/>
      <c r="J52" s="27"/>
    </row>
    <row r="53" customFormat="false" ht="15" hidden="false" customHeight="false" outlineLevel="0" collapsed="false">
      <c r="A53" s="11"/>
      <c r="B53" s="28" t="s">
        <v>136</v>
      </c>
      <c r="C53" s="11"/>
      <c r="D53" s="11" t="n">
        <f aca="false">COUNTIF(F4:F50,"&lt;&gt;")</f>
        <v>0</v>
      </c>
      <c r="E53" s="11"/>
      <c r="F53" s="11"/>
      <c r="G53" s="28" t="str">
        <f aca="false">IF(D53=42,"완료","미확정 "&amp;(42-D53)&amp;"건")</f>
        <v>미확정 42건</v>
      </c>
      <c r="H53" s="11"/>
      <c r="I53" s="11"/>
      <c r="J53" s="11"/>
    </row>
    <row r="54" customFormat="false" ht="15" hidden="false" customHeight="false" outlineLevel="0" collapsed="false">
      <c r="A54" s="11"/>
      <c r="B54" s="28" t="s">
        <v>16</v>
      </c>
      <c r="C54" s="11"/>
      <c r="D54" s="28" t="n">
        <f aca="false">SUMIF(F4:F50,"미해당",D4:D50)</f>
        <v>0</v>
      </c>
      <c r="E54" s="11"/>
      <c r="F54" s="28" t="s">
        <v>137</v>
      </c>
      <c r="G54" s="28" t="n">
        <f aca="false">IF(D54&gt;=1000,"",ROUND(G52/(1000-D54)*1000,0))</f>
        <v>0</v>
      </c>
      <c r="H54" s="11"/>
      <c r="I54" s="11"/>
      <c r="J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28" t="s">
        <v>138</v>
      </c>
      <c r="G55" s="29" t="str">
        <f aca="false">IF(D53&lt;&gt;42,"",IF(G54="","",IF(G54&gt;=900,"S",IF(G54&gt;=600,"G","불합격"))))</f>
        <v/>
      </c>
      <c r="H55" s="11"/>
      <c r="I55" s="11"/>
      <c r="J55" s="11"/>
    </row>
    <row r="57" customFormat="false" ht="15" hidden="false" customHeight="false" outlineLevel="0" collapsed="false">
      <c r="A57" s="12" t="s">
        <v>139</v>
      </c>
    </row>
  </sheetData>
  <mergeCells count="2">
    <mergeCell ref="A1:J1"/>
    <mergeCell ref="A2:J2"/>
  </mergeCells>
  <conditionalFormatting sqref="F4:F50">
    <cfRule type="cellIs" priority="2" operator="equal" aboveAverage="0" equalAverage="0" bottom="0" percent="0" rank="0" text="" dxfId="0">
      <formula>"일부미흡"</formula>
    </cfRule>
    <cfRule type="cellIs" priority="3" operator="equal" aboveAverage="0" equalAverage="0" bottom="0" percent="0" rank="0" text="" dxfId="0">
      <formula>"다수미흡"</formula>
    </cfRule>
    <cfRule type="cellIs" priority="4" operator="equal" aboveAverage="0" equalAverage="0" bottom="0" percent="0" rank="0" text="" dxfId="0">
      <formula>"미관리"</formula>
    </cfRule>
    <cfRule type="cellIs" priority="5" operator="equal" aboveAverage="0" equalAverage="0" bottom="0" percent="0" rank="0" text="" dxfId="1">
      <formula>"우수"</formula>
    </cfRule>
  </conditionalFormatting>
  <dataValidations count="1">
    <dataValidation allowBlank="true" error="우수/양호/보완/일부미흡/다수미흡/미관리/미해당 중에서 선택하세요." errorStyle="stop" errorTitle="입력 오류" operator="between" showDropDown="false" showErrorMessage="true" showInputMessage="false" sqref="F4:F50" type="list">
      <formula1>"우수,양호,보완,일부미흡,다수미흡,미관리,미해당"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0"/>
  </cols>
  <sheetData>
    <row r="1" customFormat="false" ht="25.5" hidden="false" customHeight="true" outlineLevel="0" collapsed="false">
      <c r="A1" s="13" t="s">
        <v>140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141</v>
      </c>
      <c r="B2" s="14"/>
      <c r="C2" s="14"/>
      <c r="D2" s="14"/>
      <c r="E2" s="14"/>
      <c r="F2" s="14"/>
      <c r="G2" s="14"/>
      <c r="H2" s="14"/>
    </row>
    <row r="3" customFormat="false" ht="26.85" hidden="false" customHeight="false" outlineLevel="0" collapsed="false">
      <c r="A3" s="10" t="s">
        <v>142</v>
      </c>
      <c r="B3" s="10" t="s">
        <v>143</v>
      </c>
      <c r="C3" s="10" t="s">
        <v>144</v>
      </c>
      <c r="D3" s="10" t="s">
        <v>145</v>
      </c>
      <c r="E3" s="10" t="s">
        <v>146</v>
      </c>
      <c r="F3" s="10" t="s">
        <v>147</v>
      </c>
      <c r="G3" s="10" t="s">
        <v>148</v>
      </c>
      <c r="H3" s="10" t="s">
        <v>149</v>
      </c>
    </row>
    <row r="4" customFormat="false" ht="25.5" hidden="false" customHeight="true" outlineLevel="0" collapsed="false">
      <c r="A4" s="30" t="n">
        <v>1</v>
      </c>
      <c r="B4" s="30" t="s">
        <v>53</v>
      </c>
      <c r="C4" s="31" t="s">
        <v>150</v>
      </c>
      <c r="D4" s="31" t="s">
        <v>151</v>
      </c>
      <c r="E4" s="30" t="s">
        <v>152</v>
      </c>
      <c r="F4" s="31" t="s">
        <v>153</v>
      </c>
      <c r="G4" s="30"/>
      <c r="H4" s="30" t="s">
        <v>154</v>
      </c>
    </row>
    <row r="5" customFormat="false" ht="21.75" hidden="false" customHeight="true" outlineLevel="0" collapsed="false">
      <c r="A5" s="32"/>
      <c r="B5" s="32"/>
      <c r="C5" s="4"/>
      <c r="D5" s="4"/>
      <c r="E5" s="32"/>
      <c r="F5" s="32"/>
      <c r="G5" s="32"/>
      <c r="H5" s="32"/>
    </row>
    <row r="6" customFormat="false" ht="21.75" hidden="false" customHeight="true" outlineLevel="0" collapsed="false">
      <c r="A6" s="32"/>
      <c r="B6" s="32"/>
      <c r="C6" s="4"/>
      <c r="D6" s="4"/>
      <c r="E6" s="32"/>
      <c r="F6" s="32"/>
      <c r="G6" s="32"/>
      <c r="H6" s="32"/>
    </row>
    <row r="7" customFormat="false" ht="21.75" hidden="false" customHeight="true" outlineLevel="0" collapsed="false">
      <c r="A7" s="32"/>
      <c r="B7" s="32"/>
      <c r="C7" s="4"/>
      <c r="D7" s="4"/>
      <c r="E7" s="32"/>
      <c r="F7" s="32"/>
      <c r="G7" s="32"/>
      <c r="H7" s="32"/>
    </row>
    <row r="8" customFormat="false" ht="21.75" hidden="false" customHeight="true" outlineLevel="0" collapsed="false">
      <c r="A8" s="32"/>
      <c r="B8" s="32"/>
      <c r="C8" s="4"/>
      <c r="D8" s="4"/>
      <c r="E8" s="32"/>
      <c r="F8" s="32"/>
      <c r="G8" s="32"/>
      <c r="H8" s="32"/>
    </row>
    <row r="9" customFormat="false" ht="21.75" hidden="false" customHeight="true" outlineLevel="0" collapsed="false">
      <c r="A9" s="32"/>
      <c r="B9" s="32"/>
      <c r="C9" s="4"/>
      <c r="D9" s="4"/>
      <c r="E9" s="32"/>
      <c r="F9" s="32"/>
      <c r="G9" s="32"/>
      <c r="H9" s="32"/>
    </row>
    <row r="10" customFormat="false" ht="21.75" hidden="false" customHeight="true" outlineLevel="0" collapsed="false">
      <c r="A10" s="32"/>
      <c r="B10" s="32"/>
      <c r="C10" s="4"/>
      <c r="D10" s="4"/>
      <c r="E10" s="32"/>
      <c r="F10" s="32"/>
      <c r="G10" s="32"/>
      <c r="H10" s="32"/>
    </row>
    <row r="11" customFormat="false" ht="21.75" hidden="false" customHeight="true" outlineLevel="0" collapsed="false">
      <c r="A11" s="32"/>
      <c r="B11" s="32"/>
      <c r="C11" s="4"/>
      <c r="D11" s="4"/>
      <c r="E11" s="32"/>
      <c r="F11" s="32"/>
      <c r="G11" s="32"/>
      <c r="H11" s="32"/>
    </row>
    <row r="12" customFormat="false" ht="21.75" hidden="false" customHeight="true" outlineLevel="0" collapsed="false">
      <c r="A12" s="32"/>
      <c r="B12" s="32"/>
      <c r="C12" s="4"/>
      <c r="D12" s="4"/>
      <c r="E12" s="32"/>
      <c r="F12" s="32"/>
      <c r="G12" s="32"/>
      <c r="H12" s="32"/>
    </row>
    <row r="13" customFormat="false" ht="21.75" hidden="false" customHeight="true" outlineLevel="0" collapsed="false">
      <c r="A13" s="32"/>
      <c r="B13" s="32"/>
      <c r="C13" s="4"/>
      <c r="D13" s="4"/>
      <c r="E13" s="32"/>
      <c r="F13" s="32"/>
      <c r="G13" s="32"/>
      <c r="H13" s="32"/>
    </row>
    <row r="14" customFormat="false" ht="21.75" hidden="false" customHeight="true" outlineLevel="0" collapsed="false">
      <c r="A14" s="32"/>
      <c r="B14" s="32"/>
      <c r="C14" s="4"/>
      <c r="D14" s="4"/>
      <c r="E14" s="32"/>
      <c r="F14" s="32"/>
      <c r="G14" s="32"/>
      <c r="H14" s="32"/>
    </row>
    <row r="15" customFormat="false" ht="21.75" hidden="false" customHeight="true" outlineLevel="0" collapsed="false">
      <c r="A15" s="32"/>
      <c r="B15" s="32"/>
      <c r="C15" s="4"/>
      <c r="D15" s="4"/>
      <c r="E15" s="32"/>
      <c r="F15" s="32"/>
      <c r="G15" s="32"/>
      <c r="H15" s="32"/>
    </row>
    <row r="16" customFormat="false" ht="21.75" hidden="false" customHeight="true" outlineLevel="0" collapsed="false">
      <c r="A16" s="32"/>
      <c r="B16" s="32"/>
      <c r="C16" s="4"/>
      <c r="D16" s="4"/>
      <c r="E16" s="32"/>
      <c r="F16" s="32"/>
      <c r="G16" s="32"/>
      <c r="H16" s="32"/>
    </row>
    <row r="17" customFormat="false" ht="21.75" hidden="false" customHeight="true" outlineLevel="0" collapsed="false">
      <c r="A17" s="32"/>
      <c r="B17" s="32"/>
      <c r="C17" s="4"/>
      <c r="D17" s="4"/>
      <c r="E17" s="32"/>
      <c r="F17" s="32"/>
      <c r="G17" s="32"/>
      <c r="H17" s="32"/>
    </row>
    <row r="18" customFormat="false" ht="21.75" hidden="false" customHeight="true" outlineLevel="0" collapsed="false">
      <c r="A18" s="32"/>
      <c r="B18" s="32"/>
      <c r="C18" s="4"/>
      <c r="D18" s="4"/>
      <c r="E18" s="32"/>
      <c r="F18" s="32"/>
      <c r="G18" s="32"/>
      <c r="H18" s="32"/>
    </row>
    <row r="19" customFormat="false" ht="21.75" hidden="false" customHeight="true" outlineLevel="0" collapsed="false">
      <c r="A19" s="32"/>
      <c r="B19" s="32"/>
      <c r="C19" s="4"/>
      <c r="D19" s="4"/>
      <c r="E19" s="32"/>
      <c r="F19" s="32"/>
      <c r="G19" s="32"/>
      <c r="H19" s="32"/>
    </row>
    <row r="20" customFormat="false" ht="21.75" hidden="false" customHeight="true" outlineLevel="0" collapsed="false">
      <c r="A20" s="32"/>
      <c r="B20" s="32"/>
      <c r="C20" s="4"/>
      <c r="D20" s="4"/>
      <c r="E20" s="32"/>
      <c r="F20" s="32"/>
      <c r="G20" s="32"/>
      <c r="H20" s="32"/>
    </row>
    <row r="21" customFormat="false" ht="21.75" hidden="false" customHeight="true" outlineLevel="0" collapsed="false">
      <c r="A21" s="32"/>
      <c r="B21" s="32"/>
      <c r="C21" s="4"/>
      <c r="D21" s="4"/>
      <c r="E21" s="32"/>
      <c r="F21" s="32"/>
      <c r="G21" s="32"/>
      <c r="H21" s="32"/>
    </row>
    <row r="22" customFormat="false" ht="21.75" hidden="false" customHeight="true" outlineLevel="0" collapsed="false">
      <c r="A22" s="32"/>
      <c r="B22" s="32"/>
      <c r="C22" s="4"/>
      <c r="D22" s="4"/>
      <c r="E22" s="32"/>
      <c r="F22" s="32"/>
      <c r="G22" s="32"/>
      <c r="H22" s="32"/>
    </row>
    <row r="23" customFormat="false" ht="21.75" hidden="false" customHeight="true" outlineLevel="0" collapsed="false">
      <c r="A23" s="32"/>
      <c r="B23" s="32"/>
      <c r="C23" s="4"/>
      <c r="D23" s="4"/>
      <c r="E23" s="32"/>
      <c r="F23" s="32"/>
      <c r="G23" s="32"/>
      <c r="H23" s="32"/>
    </row>
    <row r="24" customFormat="false" ht="21.75" hidden="false" customHeight="true" outlineLevel="0" collapsed="false">
      <c r="A24" s="32"/>
      <c r="B24" s="32"/>
      <c r="C24" s="4"/>
      <c r="D24" s="4"/>
      <c r="E24" s="32"/>
      <c r="F24" s="32"/>
      <c r="G24" s="32"/>
      <c r="H24" s="32"/>
    </row>
    <row r="26" customFormat="false" ht="15" hidden="false" customHeight="false" outlineLevel="0" collapsed="false">
      <c r="A26" s="12" t="s">
        <v>155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15" hidden="false" customHeight="false" outlineLevel="0" collapsed="false">
      <c r="B1" s="33" t="s">
        <v>156</v>
      </c>
    </row>
    <row r="2" customFormat="false" ht="15" hidden="false" customHeight="false" outlineLevel="0" collapsed="false">
      <c r="B2" s="34" t="s">
        <v>157</v>
      </c>
    </row>
    <row r="3" customFormat="false" ht="15" hidden="false" customHeight="false" outlineLevel="0" collapsed="false">
      <c r="B3" s="34" t="s">
        <v>158</v>
      </c>
    </row>
    <row r="4" customFormat="false" ht="15" hidden="false" customHeight="false" outlineLevel="0" collapsed="false">
      <c r="B4" s="34"/>
    </row>
    <row r="5" customFormat="false" ht="17.15" hidden="false" customHeight="false" outlineLevel="0" collapsed="false">
      <c r="B5" s="33" t="s">
        <v>159</v>
      </c>
    </row>
    <row r="6" customFormat="false" ht="15" hidden="false" customHeight="false" outlineLevel="0" collapsed="false">
      <c r="B6" s="34" t="s">
        <v>160</v>
      </c>
    </row>
    <row r="7" customFormat="false" ht="26.85" hidden="false" customHeight="false" outlineLevel="0" collapsed="false">
      <c r="B7" s="34" t="s">
        <v>161</v>
      </c>
    </row>
    <row r="8" customFormat="false" ht="15" hidden="false" customHeight="false" outlineLevel="0" collapsed="false">
      <c r="B8" s="34" t="s">
        <v>162</v>
      </c>
    </row>
    <row r="9" customFormat="false" ht="15" hidden="false" customHeight="false" outlineLevel="0" collapsed="false">
      <c r="B9" s="34" t="s">
        <v>163</v>
      </c>
    </row>
    <row r="10" customFormat="false" ht="15" hidden="false" customHeight="false" outlineLevel="0" collapsed="false">
      <c r="B10" s="34" t="s">
        <v>164</v>
      </c>
    </row>
    <row r="11" customFormat="false" ht="15" hidden="false" customHeight="false" outlineLevel="0" collapsed="false">
      <c r="B11" s="34"/>
    </row>
    <row r="12" customFormat="false" ht="17.15" hidden="false" customHeight="false" outlineLevel="0" collapsed="false">
      <c r="B12" s="33" t="s">
        <v>165</v>
      </c>
    </row>
    <row r="13" customFormat="false" ht="15" hidden="false" customHeight="false" outlineLevel="0" collapsed="false">
      <c r="B13" s="34" t="s">
        <v>166</v>
      </c>
    </row>
    <row r="14" customFormat="false" ht="15" hidden="false" customHeight="false" outlineLevel="0" collapsed="false">
      <c r="B14" s="34" t="s">
        <v>167</v>
      </c>
    </row>
    <row r="15" customFormat="false" ht="15" hidden="false" customHeight="false" outlineLevel="0" collapsed="false">
      <c r="B15" s="34" t="s">
        <v>168</v>
      </c>
    </row>
    <row r="16" customFormat="false" ht="15" hidden="false" customHeight="false" outlineLevel="0" collapsed="false">
      <c r="B16" s="34" t="s">
        <v>169</v>
      </c>
    </row>
    <row r="17" customFormat="false" ht="15" hidden="false" customHeight="false" outlineLevel="0" collapsed="false">
      <c r="B17" s="34"/>
    </row>
    <row r="18" customFormat="false" ht="17.15" hidden="false" customHeight="false" outlineLevel="0" collapsed="false">
      <c r="B18" s="33" t="s">
        <v>170</v>
      </c>
    </row>
    <row r="19" customFormat="false" ht="15" hidden="false" customHeight="false" outlineLevel="0" collapsed="false">
      <c r="B19" s="34" t="s">
        <v>171</v>
      </c>
    </row>
    <row r="20" customFormat="false" ht="15" hidden="false" customHeight="false" outlineLevel="0" collapsed="false">
      <c r="B20" s="34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2026-07-16T01:47:42Z</dcterms:created>
  <dc:creator>openpyxl</dc:creator>
  <dc:description/>
  <dc:language>en-US</dc:language>
  <cp:lastModifiedBy/>
  <dcterms:modified xsi:type="dcterms:W3CDTF">2026-07-16T01:47:42Z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