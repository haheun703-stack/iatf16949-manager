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2100-08" state="visible" r:id="rId4"/>
  </sheets>
  <calcPr calcId="171027"/>
</workbook>
</file>

<file path=xl/sharedStrings.xml><?xml version="1.0" encoding="utf-8"?>
<sst xmlns="http://schemas.openxmlformats.org/spreadsheetml/2006/main" count="44" uniqueCount="38">
  <si>
    <t>숙련도 평가표</t>
  </si>
  <si>
    <t>평가일자</t>
  </si>
  <si>
    <t>결 재</t>
  </si>
  <si>
    <t>담 당</t>
  </si>
  <si>
    <t>팀 장</t>
  </si>
  <si>
    <t>사업부장</t>
  </si>
  <si>
    <t>순</t>
  </si>
  <si>
    <t>성    명</t>
  </si>
  <si>
    <t>근무년수</t>
  </si>
  <si>
    <t>공정명</t>
  </si>
  <si>
    <t>작업표준</t>
  </si>
  <si>
    <t>설비관리</t>
  </si>
  <si>
    <t>품질관리</t>
  </si>
  <si>
    <t>관리</t>
  </si>
  <si>
    <t>합계</t>
  </si>
  <si>
    <t>등급</t>
  </si>
  <si>
    <t xml:space="preserve">3정
5행</t>
  </si>
  <si>
    <t xml:space="preserve">조건
이해</t>
  </si>
  <si>
    <t xml:space="preserve">검사
이해</t>
  </si>
  <si>
    <t xml:space="preserve">작업
이해</t>
  </si>
  <si>
    <t>소계</t>
  </si>
  <si>
    <t xml:space="preserve">장비
조작</t>
  </si>
  <si>
    <t xml:space="preserve">소모품
변경</t>
  </si>
  <si>
    <t xml:space="preserve">설비
조건</t>
  </si>
  <si>
    <t xml:space="preserve">조건
관리</t>
  </si>
  <si>
    <t xml:space="preserve">대처
능력</t>
  </si>
  <si>
    <t xml:space="preserve">자주
검사</t>
  </si>
  <si>
    <t xml:space="preserve">특성
이해</t>
  </si>
  <si>
    <t xml:space="preserve">교육
태도</t>
  </si>
  <si>
    <t xml:space="preserve">시간
준수</t>
  </si>
  <si>
    <t>이해도</t>
  </si>
  <si>
    <t>실무반영</t>
  </si>
  <si>
    <t>근속</t>
  </si>
  <si>
    <t>근태</t>
  </si>
  <si>
    <t>수습</t>
  </si>
  <si>
    <t>산재</t>
  </si>
  <si>
    <t>범 례</t>
  </si>
  <si>
    <t xml:space="preserve">   A  :  85점 이상    ,    B  :  80 ~ 84점    ,    C  :  70 ~ 79점    ,    D  :  70점 미만  (타공정 가능 종합점수 A등급 이상일것)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</si>
</sst>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F800]dddd, mmmm dd, yyyy"/>
    <numFmt numFmtId="165" formatCode="#,##0_ "/>
    <numFmt numFmtId="166" formatCode="_-* #,##0_-;-* #,##0_-;_-* &quot;-&quot;_-;_-@_-"/>
  </numFmts>
  <fonts count="7" x14ac:knownFonts="1">
    <font>
      <color theme="1"/>
      <family val="2"/>
      <scheme val="minor"/>
      <sz val="11"/>
      <name val="Calibri"/>
    </font>
    <font>
      <charset val="129"/>
      <color theme="1"/>
      <family val="1"/>
      <sz val="26"/>
      <name val="HY헤드라인M"/>
    </font>
    <font>
      <charset val="129"/>
      <color theme="1"/>
      <family val="1"/>
      <sz val="10"/>
      <name val="HY헤드라인M"/>
    </font>
    <font>
      <charset val="129"/>
      <color theme="1"/>
      <family val="1"/>
      <sz val="11"/>
      <name val="HY헤드라인M"/>
    </font>
    <font>
      <charset val="129"/>
      <color rgb="FFFF0000"/>
      <family val="1"/>
      <sz val="10"/>
      <name val="HY헤드라인M"/>
    </font>
    <font>
      <charset val="129"/>
      <color rgb="FF0000FF"/>
      <family val="1"/>
      <sz val="10"/>
      <name val="HY헤드라인M"/>
    </font>
    <font>
      <charset val="129"/>
      <color theme="1"/>
      <family val="1"/>
      <sz val="9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 diagonalUp="1">
      <left style="thin">
        <color indexed="64"/>
      </left>
      <right/>
      <top style="thin">
        <color indexed="64"/>
      </top>
      <bottom/>
      <diagonal style="thin">
        <color indexed="64"/>
      </diagonal>
    </border>
    <border>
      <left style="thin"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medium"/>
      <top style="thin"/>
      <bottom/>
      <diagonal/>
    </border>
    <border>
      <left/>
      <right style="thin"/>
      <top style="thin"/>
      <bottom style="thin"/>
      <diagonal/>
    </border>
    <border>
      <left style="medium"/>
      <right style="thin"/>
      <top style="thin"/>
      <bottom style="thin"/>
      <diagonal/>
    </border>
    <border>
      <left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/>
      <right style="thin"/>
      <top style="thin"/>
      <bottom style="medium"/>
      <diagonal/>
    </border>
    <border>
      <left style="thin"/>
      <right style="medium"/>
      <top/>
      <bottom style="medium"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/>
      <right style="medium"/>
      <top style="hair"/>
      <bottom style="hair"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hair"/>
      <bottom style="hair"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/>
      <right style="thin"/>
      <top style="medium"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textRotation="255"/>
    </xf>
    <xf numFmtId="0" fontId="2" fillId="3" borderId="3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shrinkToFit="1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shrinkToFi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165" fontId="2" fillId="0" borderId="15" xfId="0" applyNumberFormat="1" applyFont="1" applyBorder="1" applyAlignment="1">
      <alignment horizontal="center" vertical="center" shrinkToFit="1"/>
    </xf>
    <xf numFmtId="166" fontId="2" fillId="2" borderId="15" xfId="0" applyNumberFormat="1" applyFont="1" applyFill="1" applyBorder="1" applyAlignment="1">
      <alignment horizontal="center" vertical="center" shrinkToFit="1"/>
    </xf>
    <xf numFmtId="166" fontId="6" fillId="2" borderId="15" xfId="0" applyNumberFormat="1" applyFont="1" applyFill="1" applyBorder="1" applyAlignment="1">
      <alignment horizontal="center" vertical="center" shrinkToFit="1"/>
    </xf>
    <xf numFmtId="165" fontId="2" fillId="0" borderId="16" xfId="0" applyNumberFormat="1" applyFont="1" applyBorder="1" applyAlignment="1">
      <alignment horizontal="center" vertical="center"/>
    </xf>
    <xf numFmtId="165" fontId="2" fillId="0" borderId="15" xfId="0" applyNumberFormat="1" applyFont="1" applyBorder="1" applyAlignment="1">
      <alignment horizontal="center" vertical="center"/>
    </xf>
    <xf numFmtId="165" fontId="2" fillId="2" borderId="17" xfId="0" applyNumberFormat="1" applyFont="1" applyFill="1" applyBorder="1" applyAlignment="1">
      <alignment horizontal="center" vertical="center"/>
    </xf>
    <xf numFmtId="165" fontId="2" fillId="2" borderId="18" xfId="0" applyNumberFormat="1" applyFont="1" applyFill="1" applyBorder="1" applyAlignment="1">
      <alignment horizontal="center" vertical="center"/>
    </xf>
    <xf numFmtId="165" fontId="2" fillId="4" borderId="15" xfId="0" applyNumberFormat="1" applyFont="1" applyFill="1" applyBorder="1" applyAlignment="1">
      <alignment horizontal="center" vertical="center"/>
    </xf>
    <xf numFmtId="165" fontId="4" fillId="2" borderId="19" xfId="0" applyNumberFormat="1" applyFont="1" applyFill="1" applyBorder="1" applyAlignment="1">
      <alignment horizontal="center" vertical="center"/>
    </xf>
    <xf numFmtId="166" fontId="5" fillId="2" borderId="15" xfId="0" applyNumberFormat="1" applyFont="1" applyFill="1" applyBorder="1" applyAlignment="1">
      <alignment horizontal="center" vertical="center" shrinkToFit="1"/>
    </xf>
    <xf numFmtId="14" fontId="2" fillId="2" borderId="15" xfId="0" applyNumberFormat="1" applyFont="1" applyFill="1" applyBorder="1" applyAlignment="1">
      <alignment horizontal="center" vertical="center"/>
    </xf>
    <xf numFmtId="14" fontId="6" fillId="2" borderId="18" xfId="0" applyNumberFormat="1" applyFont="1" applyFill="1" applyBorder="1" applyAlignment="1">
      <alignment horizontal="center" vertical="center" shrinkToFit="1"/>
    </xf>
    <xf numFmtId="165" fontId="2" fillId="2" borderId="20" xfId="0" applyNumberFormat="1" applyFont="1" applyFill="1" applyBorder="1" applyAlignment="1">
      <alignment horizontal="center" vertical="center"/>
    </xf>
    <xf numFmtId="165" fontId="2" fillId="0" borderId="21" xfId="0" applyNumberFormat="1" applyFont="1" applyBorder="1" applyAlignment="1">
      <alignment horizontal="center" vertical="center"/>
    </xf>
    <xf numFmtId="14" fontId="6" fillId="2" borderId="18" xfId="0" applyNumberFormat="1" applyFont="1" applyFill="1" applyBorder="1" applyAlignment="1">
      <alignment horizontal="center" vertical="center" wrapText="1" shrinkToFit="1"/>
    </xf>
    <xf numFmtId="165" fontId="2" fillId="0" borderId="22" xfId="0" applyNumberFormat="1" applyFont="1" applyBorder="1" applyAlignment="1">
      <alignment horizontal="center" vertical="center"/>
    </xf>
    <xf numFmtId="165" fontId="2" fillId="0" borderId="23" xfId="0" applyNumberFormat="1" applyFont="1" applyBorder="1" applyAlignment="1">
      <alignment horizontal="center" vertical="center"/>
    </xf>
    <xf numFmtId="165" fontId="2" fillId="4" borderId="22" xfId="0" applyNumberFormat="1" applyFont="1" applyFill="1" applyBorder="1" applyAlignment="1">
      <alignment horizontal="center" vertical="center"/>
    </xf>
    <xf numFmtId="165" fontId="2" fillId="4" borderId="23" xfId="0" applyNumberFormat="1" applyFont="1" applyFill="1" applyBorder="1" applyAlignment="1">
      <alignment horizontal="center" vertical="center"/>
    </xf>
    <xf numFmtId="165" fontId="2" fillId="4" borderId="21" xfId="0" applyNumberFormat="1" applyFont="1" applyFill="1" applyBorder="1" applyAlignment="1">
      <alignment horizontal="center" vertical="center"/>
    </xf>
    <xf numFmtId="165" fontId="2" fillId="4" borderId="19" xfId="0" applyNumberFormat="1" applyFont="1" applyFill="1" applyBorder="1" applyAlignment="1">
      <alignment horizontal="center" vertical="center"/>
    </xf>
    <xf numFmtId="166" fontId="4" fillId="2" borderId="15" xfId="0" applyNumberFormat="1" applyFont="1" applyFill="1" applyBorder="1" applyAlignment="1">
      <alignment horizontal="center" vertical="center" shrinkToFit="1"/>
    </xf>
    <xf numFmtId="165" fontId="2" fillId="0" borderId="19" xfId="0" applyNumberFormat="1" applyFont="1" applyBorder="1" applyAlignment="1">
      <alignment horizontal="center" vertical="center"/>
    </xf>
    <xf numFmtId="165" fontId="2" fillId="4" borderId="24" xfId="0" applyNumberFormat="1" applyFont="1" applyFill="1" applyBorder="1" applyAlignment="1">
      <alignment horizontal="center" vertical="center"/>
    </xf>
    <xf numFmtId="165" fontId="2" fillId="0" borderId="23" xfId="0" applyNumberFormat="1" applyFont="1" applyBorder="1" applyAlignment="1">
      <alignment horizontal="center" vertical="center" shrinkToFit="1"/>
    </xf>
    <xf numFmtId="165" fontId="2" fillId="0" borderId="24" xfId="0" applyNumberFormat="1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0"/>
  <sheetViews>
    <sheetView workbookViewId="0" zoomScale="100" zoomScaleNormal="100" view="pageBreakPreview">
      <selection activeCell="L18" sqref="L18"/>
    </sheetView>
  </sheetViews>
  <sheetFormatPr defaultRowHeight="13" outlineLevelRow="0" outlineLevelCol="0" x14ac:dyDescent="0.45" defaultColWidth="2.83203125" customHeight="1"/>
  <cols>
    <col min="1" max="1" width="3.5" customWidth="1"/>
    <col min="2" max="2" width="7.5" customWidth="1"/>
    <col min="3" max="3" width="8.5" customWidth="1"/>
    <col min="4" max="21" width="6.75" customWidth="1"/>
    <col min="22" max="22" width="6.5" customWidth="1"/>
    <col min="23" max="23" width="6.83203125" customWidth="1"/>
    <col min="24" max="24" width="5.08203125" hidden="1" customWidth="1"/>
    <col min="25" max="25" width="12.75" customWidth="1"/>
    <col min="26" max="27" width="6.75" customWidth="1"/>
    <col min="28" max="28" width="7.08203125" customWidth="1"/>
    <col min="29" max="29" width="7.25" customWidth="1"/>
    <col min="30" max="30" width="6.58203125" customWidth="1"/>
  </cols>
  <sheetData>
    <row r="1" ht="20.15" customHeight="1" spans="1:3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 t="s">
        <v>1</v>
      </c>
      <c r="Q1" s="2"/>
      <c r="R1" s="2"/>
      <c r="S1" s="2"/>
      <c r="T1" s="2"/>
      <c r="U1" s="3" t="s">
        <v>2</v>
      </c>
      <c r="V1" s="4" t="s">
        <v>3</v>
      </c>
      <c r="W1" s="4"/>
      <c r="X1" s="4" t="s">
        <v>4</v>
      </c>
      <c r="Y1" s="4"/>
      <c r="Z1" s="4" t="s">
        <v>5</v>
      </c>
      <c r="AA1" s="4"/>
      <c r="AB1" s="5"/>
      <c r="AC1" s="5"/>
      <c r="AD1" s="5"/>
    </row>
    <row r="2" spans="1:3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/>
      <c r="Q2" s="2"/>
      <c r="R2" s="2"/>
      <c r="S2" s="2"/>
      <c r="T2" s="2"/>
      <c r="U2" s="3"/>
      <c r="V2" s="6"/>
      <c r="W2" s="6"/>
      <c r="X2" s="7"/>
      <c r="Y2" s="7"/>
      <c r="Z2" s="6"/>
      <c r="AA2" s="6"/>
      <c r="AB2" s="5"/>
      <c r="AC2" s="5"/>
      <c r="AD2" s="5"/>
    </row>
    <row r="3" spans="1:3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8"/>
      <c r="Q3" s="8"/>
      <c r="R3" s="8"/>
      <c r="S3" s="8"/>
      <c r="T3" s="8"/>
      <c r="U3" s="3"/>
      <c r="V3" s="6"/>
      <c r="W3" s="6"/>
      <c r="X3" s="7"/>
      <c r="Y3" s="7"/>
      <c r="Z3" s="6"/>
      <c r="AA3" s="6"/>
      <c r="AB3" s="5"/>
      <c r="AC3" s="5"/>
      <c r="AD3" s="5"/>
    </row>
    <row r="4" spans="1:3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8"/>
      <c r="Q4" s="8"/>
      <c r="R4" s="8"/>
      <c r="S4" s="8"/>
      <c r="T4" s="8"/>
      <c r="U4" s="3"/>
      <c r="V4" s="6"/>
      <c r="W4" s="6"/>
      <c r="X4" s="7"/>
      <c r="Y4" s="7"/>
      <c r="Z4" s="6"/>
      <c r="AA4" s="6"/>
      <c r="AB4" s="5"/>
      <c r="AC4" s="5"/>
      <c r="AD4" s="5"/>
    </row>
    <row r="5" spans="1:30" x14ac:dyDescent="0.25">
      <c r="A5" s="9" t="s">
        <v>6</v>
      </c>
      <c r="B5" s="10" t="s">
        <v>7</v>
      </c>
      <c r="C5" s="11" t="s">
        <v>8</v>
      </c>
      <c r="D5" s="12" t="s">
        <v>9</v>
      </c>
      <c r="E5" s="13" t="s">
        <v>10</v>
      </c>
      <c r="F5" s="13"/>
      <c r="G5" s="13"/>
      <c r="H5" s="13"/>
      <c r="I5" s="13"/>
      <c r="J5" s="14" t="s">
        <v>11</v>
      </c>
      <c r="K5" s="14"/>
      <c r="L5" s="14"/>
      <c r="M5" s="14"/>
      <c r="N5" s="14"/>
      <c r="O5" s="13" t="s">
        <v>12</v>
      </c>
      <c r="P5" s="13"/>
      <c r="Q5" s="13"/>
      <c r="R5" s="13"/>
      <c r="S5" s="14" t="s">
        <v>13</v>
      </c>
      <c r="T5" s="14"/>
      <c r="U5" s="14"/>
      <c r="V5" s="14"/>
      <c r="W5" s="14"/>
      <c r="X5" s="14"/>
      <c r="Y5" s="14"/>
      <c r="Z5" s="15" t="s">
        <v>14</v>
      </c>
      <c r="AA5" s="16" t="s">
        <v>15</v>
      </c>
      <c r="AB5" s="5"/>
      <c r="AC5" s="5"/>
      <c r="AD5" s="5"/>
    </row>
    <row r="6" ht="26.5" customHeight="1" spans="1:30" x14ac:dyDescent="0.25">
      <c r="A6" s="9"/>
      <c r="B6" s="10"/>
      <c r="C6" s="11"/>
      <c r="D6" s="12"/>
      <c r="E6" s="17" t="s">
        <v>16</v>
      </c>
      <c r="F6" s="18" t="s">
        <v>17</v>
      </c>
      <c r="G6" s="18" t="s">
        <v>18</v>
      </c>
      <c r="H6" s="18" t="s">
        <v>19</v>
      </c>
      <c r="I6" s="19" t="s">
        <v>20</v>
      </c>
      <c r="J6" s="20" t="s">
        <v>21</v>
      </c>
      <c r="K6" s="18" t="s">
        <v>22</v>
      </c>
      <c r="L6" s="18" t="s">
        <v>23</v>
      </c>
      <c r="M6" s="18" t="s">
        <v>24</v>
      </c>
      <c r="N6" s="21" t="s">
        <v>20</v>
      </c>
      <c r="O6" s="17" t="s">
        <v>25</v>
      </c>
      <c r="P6" s="18" t="s">
        <v>26</v>
      </c>
      <c r="Q6" s="18" t="s">
        <v>27</v>
      </c>
      <c r="R6" s="19" t="s">
        <v>20</v>
      </c>
      <c r="S6" s="20" t="s">
        <v>28</v>
      </c>
      <c r="T6" s="18" t="s">
        <v>29</v>
      </c>
      <c r="U6" s="18" t="s">
        <v>30</v>
      </c>
      <c r="V6" s="18" t="s">
        <v>31</v>
      </c>
      <c r="W6" s="18" t="s">
        <v>32</v>
      </c>
      <c r="X6" s="18" t="s">
        <v>33</v>
      </c>
      <c r="Y6" s="21" t="s">
        <v>20</v>
      </c>
      <c r="Z6" s="15"/>
      <c r="AA6" s="16"/>
      <c r="AB6" s="5"/>
      <c r="AC6" s="5"/>
      <c r="AD6" s="5"/>
    </row>
    <row r="7" ht="18" customHeight="1" spans="1:30" x14ac:dyDescent="0.25">
      <c r="A7" s="22">
        <v>1</v>
      </c>
      <c r="B7" s="23"/>
      <c r="C7" s="23"/>
      <c r="D7" s="24"/>
      <c r="E7" s="25">
        <v>6</v>
      </c>
      <c r="F7" s="26">
        <v>6</v>
      </c>
      <c r="G7" s="26">
        <v>6</v>
      </c>
      <c r="H7" s="26">
        <v>6</v>
      </c>
      <c r="I7" s="27">
        <f t="shared" ref="I7:I21" si="0">IF(E7="","",SUM(E7:H7))</f>
        <v>24</v>
      </c>
      <c r="J7" s="25">
        <v>6</v>
      </c>
      <c r="K7" s="26">
        <v>6</v>
      </c>
      <c r="L7" s="26">
        <v>6</v>
      </c>
      <c r="M7" s="26">
        <v>6</v>
      </c>
      <c r="N7" s="28">
        <f t="shared" ref="N7:N16" si="1">IF(J7="","",SUM(J7:M7))</f>
        <v>24</v>
      </c>
      <c r="O7" s="25">
        <v>6</v>
      </c>
      <c r="P7" s="26">
        <v>6</v>
      </c>
      <c r="Q7" s="26">
        <v>6</v>
      </c>
      <c r="R7" s="28">
        <f t="shared" ref="R7:R20" si="2">IF(O7="","",SUM(O7:Q7))</f>
        <v>18</v>
      </c>
      <c r="S7" s="25">
        <v>6</v>
      </c>
      <c r="T7" s="26">
        <v>6</v>
      </c>
      <c r="U7" s="29">
        <v>6</v>
      </c>
      <c r="V7" s="26">
        <v>6</v>
      </c>
      <c r="W7" s="26">
        <v>10</v>
      </c>
      <c r="X7" s="26">
        <v>0</v>
      </c>
      <c r="Y7" s="28">
        <f t="shared" ref="Y7:Y20" si="3">IF(S7="","",SUM(S7:X7))</f>
        <v>34</v>
      </c>
      <c r="Z7" s="30">
        <f t="shared" ref="Z7:Z38" si="4">IF(Y7="","",SUMIF($E$6:$Y$6,$I$6,$E7:$Y7))</f>
        <v>100</v>
      </c>
      <c r="AA7" s="31" t="str">
        <f>IF(Z7="","",IF(Z7&gt;=85,"A",IF(Z7&gt;=80,"B",IF(Z7&gt;=70,"C",IF(Z7&lt;70,"재교육")))))</f>
        <v>A</v>
      </c>
      <c r="AB7" s="5"/>
      <c r="AC7" s="5"/>
      <c r="AD7" s="5"/>
    </row>
    <row r="8" ht="18" customHeight="1" spans="1:30" x14ac:dyDescent="0.25">
      <c r="A8" s="22">
        <v>2</v>
      </c>
      <c r="B8" s="23"/>
      <c r="C8" s="32"/>
      <c r="D8" s="33"/>
      <c r="E8" s="26">
        <v>5</v>
      </c>
      <c r="F8" s="26">
        <v>6</v>
      </c>
      <c r="G8" s="26">
        <v>6</v>
      </c>
      <c r="H8" s="26">
        <v>6</v>
      </c>
      <c r="I8" s="34">
        <f>I7</f>
        <v>23</v>
      </c>
      <c r="J8" s="35">
        <v>6</v>
      </c>
      <c r="K8" s="26">
        <v>6</v>
      </c>
      <c r="L8" s="26">
        <v>6</v>
      </c>
      <c r="M8" s="26">
        <v>6</v>
      </c>
      <c r="N8" s="34">
        <f>N7</f>
        <v>24</v>
      </c>
      <c r="O8" s="35">
        <v>5</v>
      </c>
      <c r="P8" s="26">
        <v>5</v>
      </c>
      <c r="Q8" s="26">
        <v>6</v>
      </c>
      <c r="R8" s="28">
        <f>R7</f>
        <v>16</v>
      </c>
      <c r="S8" s="35">
        <v>6</v>
      </c>
      <c r="T8" s="26">
        <v>6</v>
      </c>
      <c r="U8" s="26">
        <v>6</v>
      </c>
      <c r="V8" s="26">
        <v>6</v>
      </c>
      <c r="W8" s="26">
        <v>8</v>
      </c>
      <c r="X8" s="26">
        <v>0</v>
      </c>
      <c r="Y8" s="28">
        <f>Y7</f>
        <v>32</v>
      </c>
      <c r="Z8" s="30">
        <f>Z7</f>
        <v>95</v>
      </c>
      <c r="AA8" s="31" t="str">
        <f t="shared" ref="AA8:AA38" si="5">IF(Z8="","",IF(Z8&gt;=85,"A",IF(Z8&gt;=80,"B",IF(Z8&gt;=70,"C",IF(Z8&lt;70,"재교육")))))</f>
        <v>A</v>
      </c>
      <c r="AB8" s="5"/>
      <c r="AC8" s="5"/>
      <c r="AD8" s="5"/>
    </row>
    <row r="9" ht="18" customHeight="1" spans="1:30" x14ac:dyDescent="0.25">
      <c r="A9" s="22">
        <v>3</v>
      </c>
      <c r="B9" s="23"/>
      <c r="C9" s="32"/>
      <c r="D9" s="36"/>
      <c r="E9" s="26">
        <v>5</v>
      </c>
      <c r="F9" s="26">
        <v>6</v>
      </c>
      <c r="G9" s="26">
        <v>6</v>
      </c>
      <c r="H9" s="26">
        <v>6</v>
      </c>
      <c r="I9" s="34">
        <f>I7</f>
        <v>23</v>
      </c>
      <c r="J9" s="35">
        <v>6</v>
      </c>
      <c r="K9" s="26">
        <v>6</v>
      </c>
      <c r="L9" s="26">
        <v>6</v>
      </c>
      <c r="M9" s="26">
        <v>6</v>
      </c>
      <c r="N9" s="34">
        <f>N7</f>
        <v>24</v>
      </c>
      <c r="O9" s="37">
        <v>6</v>
      </c>
      <c r="P9" s="38">
        <v>6</v>
      </c>
      <c r="Q9" s="38">
        <v>6</v>
      </c>
      <c r="R9" s="34">
        <f>R7</f>
        <v>18</v>
      </c>
      <c r="S9" s="37">
        <v>6</v>
      </c>
      <c r="T9" s="38">
        <v>6</v>
      </c>
      <c r="U9" s="26">
        <v>6</v>
      </c>
      <c r="V9" s="29">
        <v>6</v>
      </c>
      <c r="W9" s="26">
        <v>8</v>
      </c>
      <c r="X9" s="26">
        <v>0</v>
      </c>
      <c r="Y9" s="28">
        <f>Y7</f>
        <v>32</v>
      </c>
      <c r="Z9" s="30">
        <f>Z7</f>
        <v>97</v>
      </c>
      <c r="AA9" s="31" t="str">
        <f>AA8</f>
        <v>A</v>
      </c>
      <c r="AB9" s="5"/>
      <c r="AC9" s="5"/>
      <c r="AD9" s="5"/>
    </row>
    <row r="10" ht="18" customHeight="1" spans="1:30" x14ac:dyDescent="0.25">
      <c r="A10" s="22">
        <v>4</v>
      </c>
      <c r="B10" s="23"/>
      <c r="C10" s="32"/>
      <c r="D10" s="36"/>
      <c r="E10" s="29">
        <v>5</v>
      </c>
      <c r="F10" s="26">
        <v>6</v>
      </c>
      <c r="G10" s="26">
        <v>5</v>
      </c>
      <c r="H10" s="26">
        <v>6</v>
      </c>
      <c r="I10" s="34">
        <f>I7</f>
        <v>22</v>
      </c>
      <c r="J10" s="29">
        <v>4</v>
      </c>
      <c r="K10" s="29">
        <v>5</v>
      </c>
      <c r="L10" s="29">
        <v>5</v>
      </c>
      <c r="M10" s="29">
        <v>5</v>
      </c>
      <c r="N10" s="34">
        <f>N7</f>
        <v>19</v>
      </c>
      <c r="O10" s="39">
        <v>5</v>
      </c>
      <c r="P10" s="40">
        <v>5</v>
      </c>
      <c r="Q10" s="40">
        <v>5</v>
      </c>
      <c r="R10" s="34">
        <f>R7</f>
        <v>15</v>
      </c>
      <c r="S10" s="39">
        <v>6</v>
      </c>
      <c r="T10" s="40">
        <v>6</v>
      </c>
      <c r="U10" s="29">
        <v>6</v>
      </c>
      <c r="V10" s="29">
        <v>5</v>
      </c>
      <c r="W10" s="29">
        <v>8</v>
      </c>
      <c r="X10" s="26">
        <v>0</v>
      </c>
      <c r="Y10" s="28">
        <f>Y7</f>
        <v>31</v>
      </c>
      <c r="Z10" s="30">
        <f>Z7</f>
        <v>87</v>
      </c>
      <c r="AA10" s="31" t="str">
        <f>AA8</f>
        <v>A</v>
      </c>
      <c r="AB10" s="5"/>
      <c r="AC10" s="5"/>
      <c r="AD10" s="5"/>
    </row>
    <row r="11" ht="18" customHeight="1" spans="1:30" x14ac:dyDescent="0.25">
      <c r="A11" s="22">
        <v>5</v>
      </c>
      <c r="B11" s="23"/>
      <c r="C11" s="32"/>
      <c r="D11" s="36"/>
      <c r="E11" s="29">
        <v>5</v>
      </c>
      <c r="F11" s="29">
        <v>6</v>
      </c>
      <c r="G11" s="29">
        <v>5</v>
      </c>
      <c r="H11" s="29">
        <v>5</v>
      </c>
      <c r="I11" s="34">
        <f>I7</f>
        <v>21</v>
      </c>
      <c r="J11" s="41">
        <v>5</v>
      </c>
      <c r="K11" s="29">
        <v>5</v>
      </c>
      <c r="L11" s="29">
        <v>5</v>
      </c>
      <c r="M11" s="29">
        <v>5</v>
      </c>
      <c r="N11" s="34">
        <f>N7</f>
        <v>20</v>
      </c>
      <c r="O11" s="39">
        <v>5</v>
      </c>
      <c r="P11" s="40">
        <v>5</v>
      </c>
      <c r="Q11" s="40">
        <v>5</v>
      </c>
      <c r="R11" s="34">
        <f>R7</f>
        <v>15</v>
      </c>
      <c r="S11" s="39">
        <v>6</v>
      </c>
      <c r="T11" s="40">
        <v>6</v>
      </c>
      <c r="U11" s="29">
        <v>6</v>
      </c>
      <c r="V11" s="29">
        <v>5</v>
      </c>
      <c r="W11" s="29">
        <v>6</v>
      </c>
      <c r="X11" s="26">
        <v>0</v>
      </c>
      <c r="Y11" s="28">
        <f>Y7</f>
        <v>29</v>
      </c>
      <c r="Z11" s="30">
        <f>Z7</f>
        <v>85</v>
      </c>
      <c r="AA11" s="31" t="str">
        <f>AA8</f>
        <v>A</v>
      </c>
      <c r="AB11" s="5"/>
      <c r="AC11" s="5"/>
      <c r="AD11" s="5"/>
    </row>
    <row r="12" ht="18" customHeight="1" spans="1:30" x14ac:dyDescent="0.25">
      <c r="A12" s="22">
        <v>6</v>
      </c>
      <c r="B12" s="23"/>
      <c r="C12" s="32"/>
      <c r="D12" s="36"/>
      <c r="E12" s="29">
        <v>5</v>
      </c>
      <c r="F12" s="29">
        <v>6</v>
      </c>
      <c r="G12" s="29">
        <v>6</v>
      </c>
      <c r="H12" s="29">
        <v>6</v>
      </c>
      <c r="I12" s="34">
        <f>IF(E12="","",SUM(E12:H12))</f>
        <v>23</v>
      </c>
      <c r="J12" s="29">
        <v>6</v>
      </c>
      <c r="K12" s="29">
        <v>6</v>
      </c>
      <c r="L12" s="42">
        <v>6</v>
      </c>
      <c r="M12" s="29">
        <v>6</v>
      </c>
      <c r="N12" s="34">
        <f>N7</f>
        <v>24</v>
      </c>
      <c r="O12" s="41">
        <v>5</v>
      </c>
      <c r="P12" s="29">
        <v>6</v>
      </c>
      <c r="Q12" s="29">
        <v>6</v>
      </c>
      <c r="R12" s="28">
        <f>IF(O12="","",SUM(O12:Q12))</f>
        <v>17</v>
      </c>
      <c r="S12" s="41">
        <v>6</v>
      </c>
      <c r="T12" s="29">
        <v>6</v>
      </c>
      <c r="U12" s="29">
        <v>6</v>
      </c>
      <c r="V12" s="29">
        <v>5</v>
      </c>
      <c r="W12" s="29">
        <v>6</v>
      </c>
      <c r="X12" s="26">
        <v>0</v>
      </c>
      <c r="Y12" s="28">
        <f>Y7</f>
        <v>29</v>
      </c>
      <c r="Z12" s="30">
        <f>Z7</f>
        <v>93</v>
      </c>
      <c r="AA12" s="31" t="str">
        <f>AA8</f>
        <v>A</v>
      </c>
      <c r="AB12" s="5"/>
      <c r="AC12" s="5"/>
      <c r="AD12" s="5"/>
    </row>
    <row r="13" ht="18" customHeight="1" spans="1:30" x14ac:dyDescent="0.25">
      <c r="A13" s="22">
        <v>7</v>
      </c>
      <c r="B13" s="23"/>
      <c r="C13" s="32"/>
      <c r="D13" s="36"/>
      <c r="E13" s="29">
        <v>5</v>
      </c>
      <c r="F13" s="29">
        <v>6</v>
      </c>
      <c r="G13" s="29">
        <v>6</v>
      </c>
      <c r="H13" s="29">
        <v>6</v>
      </c>
      <c r="I13" s="34">
        <f>IF(E13="","",SUM(E13:H13))</f>
        <v>23</v>
      </c>
      <c r="J13" s="29">
        <v>6</v>
      </c>
      <c r="K13" s="40">
        <v>6</v>
      </c>
      <c r="L13" s="42">
        <v>6</v>
      </c>
      <c r="M13" s="29">
        <v>6</v>
      </c>
      <c r="N13" s="34">
        <f>N7</f>
        <v>24</v>
      </c>
      <c r="O13" s="29">
        <v>5</v>
      </c>
      <c r="P13" s="29">
        <v>5</v>
      </c>
      <c r="Q13" s="29">
        <v>6</v>
      </c>
      <c r="R13" s="28">
        <f>IF(O13="","",SUM(O13:Q13))</f>
        <v>16</v>
      </c>
      <c r="S13" s="41">
        <v>6</v>
      </c>
      <c r="T13" s="29">
        <v>5</v>
      </c>
      <c r="U13" s="29">
        <v>6</v>
      </c>
      <c r="V13" s="29">
        <v>6</v>
      </c>
      <c r="W13" s="29">
        <v>4</v>
      </c>
      <c r="X13" s="26">
        <v>0</v>
      </c>
      <c r="Y13" s="28">
        <f>Y7</f>
        <v>27</v>
      </c>
      <c r="Z13" s="30">
        <f>Z7</f>
        <v>90</v>
      </c>
      <c r="AA13" s="31" t="str">
        <f>AA8</f>
        <v>A</v>
      </c>
      <c r="AB13" s="5"/>
      <c r="AC13" s="5"/>
      <c r="AD13" s="5"/>
    </row>
    <row r="14" ht="18" customHeight="1" spans="1:30" x14ac:dyDescent="0.25">
      <c r="A14" s="22">
        <v>8</v>
      </c>
      <c r="B14" s="23"/>
      <c r="C14" s="32"/>
      <c r="D14" s="36"/>
      <c r="E14" s="29">
        <v>6</v>
      </c>
      <c r="F14" s="29">
        <v>5</v>
      </c>
      <c r="G14" s="29">
        <v>5</v>
      </c>
      <c r="H14" s="29">
        <v>5</v>
      </c>
      <c r="I14" s="34">
        <f>IF(E14="","",SUM(E14:H14))</f>
        <v>21</v>
      </c>
      <c r="J14" s="29">
        <v>5</v>
      </c>
      <c r="K14" s="40">
        <v>6</v>
      </c>
      <c r="L14" s="42">
        <v>5</v>
      </c>
      <c r="M14" s="29">
        <v>5</v>
      </c>
      <c r="N14" s="34">
        <f>N7</f>
        <v>21</v>
      </c>
      <c r="O14" s="29">
        <v>5</v>
      </c>
      <c r="P14" s="29">
        <v>6</v>
      </c>
      <c r="Q14" s="29">
        <v>5</v>
      </c>
      <c r="R14" s="28">
        <f>IF(O14="","",SUM(O14:Q14))</f>
        <v>16</v>
      </c>
      <c r="S14" s="41">
        <v>6</v>
      </c>
      <c r="T14" s="29">
        <v>6</v>
      </c>
      <c r="U14" s="29">
        <v>5</v>
      </c>
      <c r="V14" s="29">
        <v>5</v>
      </c>
      <c r="W14" s="29">
        <v>8</v>
      </c>
      <c r="X14" s="26">
        <v>0</v>
      </c>
      <c r="Y14" s="28">
        <f>IF(S14="","",SUM(S14:X14))</f>
        <v>30</v>
      </c>
      <c r="Z14" s="30">
        <f>IF(Y14="","",SUMIF($E$6:$Y$6,$I$6,$E14:$Y14))</f>
        <v>88</v>
      </c>
      <c r="AA14" s="31" t="str">
        <f>AA8</f>
        <v>A</v>
      </c>
      <c r="AB14" s="5"/>
      <c r="AC14" s="5"/>
      <c r="AD14" s="5"/>
    </row>
    <row r="15" ht="18" customHeight="1" spans="1:30" x14ac:dyDescent="0.25">
      <c r="A15" s="22">
        <v>9</v>
      </c>
      <c r="B15" s="23"/>
      <c r="C15" s="32"/>
      <c r="D15" s="36"/>
      <c r="E15" s="29">
        <v>6</v>
      </c>
      <c r="F15" s="29">
        <v>6</v>
      </c>
      <c r="G15" s="29">
        <v>6</v>
      </c>
      <c r="H15" s="29">
        <v>6</v>
      </c>
      <c r="I15" s="34">
        <f>IF(E15="","",SUM(E15:H15))</f>
        <v>24</v>
      </c>
      <c r="J15" s="41">
        <v>5</v>
      </c>
      <c r="K15" s="29">
        <v>6</v>
      </c>
      <c r="L15" s="29">
        <v>5</v>
      </c>
      <c r="M15" s="29">
        <v>6</v>
      </c>
      <c r="N15" s="34">
        <f>N7</f>
        <v>22</v>
      </c>
      <c r="O15" s="39">
        <v>5</v>
      </c>
      <c r="P15" s="40">
        <v>5</v>
      </c>
      <c r="Q15" s="40">
        <v>5</v>
      </c>
      <c r="R15" s="34">
        <f>R7</f>
        <v>15</v>
      </c>
      <c r="S15" s="39">
        <v>6</v>
      </c>
      <c r="T15" s="40">
        <v>6</v>
      </c>
      <c r="U15" s="29">
        <v>5</v>
      </c>
      <c r="V15" s="29">
        <v>5</v>
      </c>
      <c r="W15" s="29">
        <v>6</v>
      </c>
      <c r="X15" s="26">
        <v>0</v>
      </c>
      <c r="Y15" s="28">
        <f>Y7</f>
        <v>28</v>
      </c>
      <c r="Z15" s="30">
        <f>Z7</f>
        <v>89</v>
      </c>
      <c r="AA15" s="31" t="str">
        <f>AA8</f>
        <v>A</v>
      </c>
      <c r="AB15" s="5"/>
      <c r="AC15" s="5"/>
      <c r="AD15" s="5"/>
    </row>
    <row r="16" ht="18" customHeight="1" spans="1:30" x14ac:dyDescent="0.25">
      <c r="A16" s="22">
        <v>10</v>
      </c>
      <c r="B16" s="23"/>
      <c r="C16" s="32"/>
      <c r="D16" s="36"/>
      <c r="E16" s="29">
        <v>5</v>
      </c>
      <c r="F16" s="29">
        <v>5</v>
      </c>
      <c r="G16" s="29">
        <v>5</v>
      </c>
      <c r="H16" s="29">
        <v>5</v>
      </c>
      <c r="I16" s="34">
        <f>IF(E16="","",SUM(E16:H16))</f>
        <v>20</v>
      </c>
      <c r="J16" s="29">
        <v>4</v>
      </c>
      <c r="K16" s="29">
        <v>4</v>
      </c>
      <c r="L16" s="42">
        <v>4</v>
      </c>
      <c r="M16" s="42">
        <v>4</v>
      </c>
      <c r="N16" s="34">
        <f>N7</f>
        <v>16</v>
      </c>
      <c r="O16" s="29">
        <v>4</v>
      </c>
      <c r="P16" s="29">
        <v>4</v>
      </c>
      <c r="Q16" s="29">
        <v>4</v>
      </c>
      <c r="R16" s="34">
        <f>R7</f>
        <v>12</v>
      </c>
      <c r="S16" s="41">
        <v>6</v>
      </c>
      <c r="T16" s="29">
        <v>5</v>
      </c>
      <c r="U16" s="29">
        <v>5</v>
      </c>
      <c r="V16" s="29">
        <v>5</v>
      </c>
      <c r="W16" s="29">
        <v>1</v>
      </c>
      <c r="X16" s="26">
        <v>0</v>
      </c>
      <c r="Y16" s="28">
        <f>IF(S16="","",SUM(S16:X16))</f>
        <v>22</v>
      </c>
      <c r="Z16" s="30">
        <f>IF(Y16="","",SUMIF($E$6:$Y$6,$I$6,$E16:$Y16))</f>
        <v>70</v>
      </c>
      <c r="AA16" s="31" t="str">
        <f>AA8</f>
        <v>C</v>
      </c>
      <c r="AB16" s="5"/>
      <c r="AC16" s="5"/>
      <c r="AD16" s="5"/>
    </row>
    <row r="17" ht="18" customHeight="1" spans="1:30" x14ac:dyDescent="0.25">
      <c r="A17" s="22">
        <v>11</v>
      </c>
      <c r="B17" s="23"/>
      <c r="C17" s="32"/>
      <c r="D17" s="36"/>
      <c r="E17" s="29">
        <v>1</v>
      </c>
      <c r="F17" s="29">
        <v>1</v>
      </c>
      <c r="G17" s="29">
        <v>1</v>
      </c>
      <c r="H17" s="29">
        <v>1</v>
      </c>
      <c r="I17" s="34">
        <v>0</v>
      </c>
      <c r="J17" s="42">
        <v>1</v>
      </c>
      <c r="K17" s="29">
        <v>1</v>
      </c>
      <c r="L17" s="29">
        <v>1</v>
      </c>
      <c r="M17" s="29">
        <v>1</v>
      </c>
      <c r="N17" s="34">
        <v>0</v>
      </c>
      <c r="O17" s="41">
        <v>1</v>
      </c>
      <c r="P17" s="29">
        <v>1</v>
      </c>
      <c r="Q17" s="42">
        <v>1</v>
      </c>
      <c r="R17" s="28">
        <v>0</v>
      </c>
      <c r="S17" s="41">
        <v>1</v>
      </c>
      <c r="T17" s="29">
        <v>1</v>
      </c>
      <c r="U17" s="29">
        <v>1</v>
      </c>
      <c r="V17" s="29">
        <v>1</v>
      </c>
      <c r="W17" s="29">
        <v>1</v>
      </c>
      <c r="X17" s="26">
        <v>0</v>
      </c>
      <c r="Y17" s="28">
        <v>0</v>
      </c>
      <c r="Z17" s="30">
        <f>Z7</f>
      </c>
      <c r="AA17" s="43" t="s">
        <v>34</v>
      </c>
      <c r="AB17" s="5"/>
      <c r="AC17" s="5"/>
      <c r="AD17" s="5"/>
    </row>
    <row r="18" ht="18" customHeight="1" spans="1:30" x14ac:dyDescent="0.25">
      <c r="A18" s="22">
        <v>12</v>
      </c>
      <c r="B18" s="23"/>
      <c r="C18" s="32"/>
      <c r="D18" s="36"/>
      <c r="E18" s="29">
        <v>1</v>
      </c>
      <c r="F18" s="29">
        <v>1</v>
      </c>
      <c r="G18" s="29">
        <v>1</v>
      </c>
      <c r="H18" s="29">
        <v>1</v>
      </c>
      <c r="I18" s="34">
        <v>0</v>
      </c>
      <c r="J18" s="29">
        <v>1</v>
      </c>
      <c r="K18" s="29">
        <v>1</v>
      </c>
      <c r="L18" s="29">
        <v>1</v>
      </c>
      <c r="M18" s="29">
        <v>1</v>
      </c>
      <c r="N18" s="34">
        <v>0</v>
      </c>
      <c r="O18" s="41">
        <v>1</v>
      </c>
      <c r="P18" s="29">
        <v>1</v>
      </c>
      <c r="Q18" s="42">
        <v>1</v>
      </c>
      <c r="R18" s="28">
        <v>0</v>
      </c>
      <c r="S18" s="41">
        <v>1</v>
      </c>
      <c r="T18" s="29">
        <v>1</v>
      </c>
      <c r="U18" s="29">
        <v>1</v>
      </c>
      <c r="V18" s="29">
        <v>1</v>
      </c>
      <c r="W18" s="29">
        <v>1</v>
      </c>
      <c r="X18" s="26">
        <v>0</v>
      </c>
      <c r="Y18" s="28">
        <v>0</v>
      </c>
      <c r="Z18" s="30">
        <f>Z7</f>
      </c>
      <c r="AA18" s="43" t="s">
        <v>34</v>
      </c>
      <c r="AB18" s="5"/>
      <c r="AC18" s="5"/>
      <c r="AD18" s="5"/>
    </row>
    <row r="19" ht="18" customHeight="1" spans="1:30" x14ac:dyDescent="0.25">
      <c r="A19" s="22">
        <v>13</v>
      </c>
      <c r="B19" s="23"/>
      <c r="C19" s="32"/>
      <c r="D19" s="36"/>
      <c r="E19" s="29">
        <v>5</v>
      </c>
      <c r="F19" s="29">
        <v>6</v>
      </c>
      <c r="G19" s="29">
        <v>6</v>
      </c>
      <c r="H19" s="29">
        <v>6</v>
      </c>
      <c r="I19" s="34">
        <f>IF(E19="","",SUM(E19:H19))</f>
        <v>23</v>
      </c>
      <c r="J19" s="29">
        <v>6</v>
      </c>
      <c r="K19" s="29">
        <v>5</v>
      </c>
      <c r="L19" s="29">
        <v>6</v>
      </c>
      <c r="M19" s="29">
        <v>5</v>
      </c>
      <c r="N19" s="34">
        <f>IF(J19="","",SUM(J19:M19))</f>
        <v>22</v>
      </c>
      <c r="O19" s="41">
        <v>5</v>
      </c>
      <c r="P19" s="29">
        <v>6</v>
      </c>
      <c r="Q19" s="42">
        <v>6</v>
      </c>
      <c r="R19" s="28">
        <f>IF(O19="","",SUM(O19:Q19))</f>
        <v>17</v>
      </c>
      <c r="S19" s="41">
        <v>6</v>
      </c>
      <c r="T19" s="29">
        <v>5</v>
      </c>
      <c r="U19" s="29">
        <v>5</v>
      </c>
      <c r="V19" s="29">
        <v>5</v>
      </c>
      <c r="W19" s="29">
        <v>2</v>
      </c>
      <c r="X19" s="26">
        <v>0</v>
      </c>
      <c r="Y19" s="28">
        <f>Y7</f>
        <v>23</v>
      </c>
      <c r="Z19" s="30">
        <f>Z7</f>
        <v>85</v>
      </c>
      <c r="AA19" s="31" t="str">
        <f>AA8</f>
        <v>A</v>
      </c>
      <c r="AB19" s="5"/>
      <c r="AC19" s="5"/>
      <c r="AD19" s="5"/>
    </row>
    <row r="20" ht="18" customHeight="1" spans="1:30" x14ac:dyDescent="0.25">
      <c r="A20" s="22">
        <v>14</v>
      </c>
      <c r="B20" s="23"/>
      <c r="C20" s="32"/>
      <c r="D20" s="36"/>
      <c r="E20" s="29">
        <v>6</v>
      </c>
      <c r="F20" s="29">
        <v>5</v>
      </c>
      <c r="G20" s="29">
        <v>4</v>
      </c>
      <c r="H20" s="29">
        <v>5</v>
      </c>
      <c r="I20" s="34">
        <f>I7</f>
        <v>20</v>
      </c>
      <c r="J20" s="26">
        <v>5</v>
      </c>
      <c r="K20" s="38">
        <v>6</v>
      </c>
      <c r="L20" s="44">
        <v>6</v>
      </c>
      <c r="M20" s="26">
        <v>5</v>
      </c>
      <c r="N20" s="34">
        <f>IF(J20="","",SUM(J20:M20))</f>
        <v>22</v>
      </c>
      <c r="O20" s="29">
        <v>5</v>
      </c>
      <c r="P20" s="29">
        <v>5</v>
      </c>
      <c r="Q20" s="29">
        <v>5</v>
      </c>
      <c r="R20" s="28">
        <f>R7</f>
        <v>15</v>
      </c>
      <c r="S20" s="41">
        <v>6</v>
      </c>
      <c r="T20" s="29">
        <v>5</v>
      </c>
      <c r="U20" s="29">
        <v>5</v>
      </c>
      <c r="V20" s="29">
        <v>5</v>
      </c>
      <c r="W20" s="29">
        <v>3</v>
      </c>
      <c r="X20" s="26">
        <v>0</v>
      </c>
      <c r="Y20" s="28">
        <f>Y7</f>
        <v>24</v>
      </c>
      <c r="Z20" s="30">
        <f>Z7</f>
        <v>81</v>
      </c>
      <c r="AA20" s="31" t="str">
        <f>AA8</f>
        <v>B</v>
      </c>
      <c r="AB20" s="5"/>
      <c r="AC20" s="5"/>
      <c r="AD20" s="5"/>
    </row>
    <row r="21" ht="18" customHeight="1" spans="1:30" x14ac:dyDescent="0.25">
      <c r="A21" s="22">
        <v>15</v>
      </c>
      <c r="B21" s="23"/>
      <c r="C21" s="32"/>
      <c r="D21" s="36"/>
      <c r="E21" s="29">
        <v>6</v>
      </c>
      <c r="F21" s="29">
        <v>6</v>
      </c>
      <c r="G21" s="29">
        <v>5</v>
      </c>
      <c r="H21" s="29">
        <v>6</v>
      </c>
      <c r="I21" s="34">
        <f>I7</f>
        <v>23</v>
      </c>
      <c r="J21" s="44">
        <v>6</v>
      </c>
      <c r="K21" s="26">
        <v>5</v>
      </c>
      <c r="L21" s="26">
        <v>6</v>
      </c>
      <c r="M21" s="26">
        <v>5</v>
      </c>
      <c r="N21" s="34">
        <f>IF(J21="","",SUM(J21:M21))</f>
        <v>22</v>
      </c>
      <c r="O21" s="39">
        <v>5</v>
      </c>
      <c r="P21" s="45">
        <v>5</v>
      </c>
      <c r="Q21" s="45">
        <v>6</v>
      </c>
      <c r="R21" s="34">
        <f>IF(O21="","",SUM(O21:Q21))</f>
        <v>16</v>
      </c>
      <c r="S21" s="39">
        <v>6</v>
      </c>
      <c r="T21" s="40">
        <v>5</v>
      </c>
      <c r="U21" s="29">
        <v>5</v>
      </c>
      <c r="V21" s="29">
        <v>6</v>
      </c>
      <c r="W21" s="29">
        <v>6</v>
      </c>
      <c r="X21" s="26">
        <v>0</v>
      </c>
      <c r="Y21" s="28">
        <f>IF(S21="","",SUM(S21:X21))</f>
        <v>28</v>
      </c>
      <c r="Z21" s="30">
        <f>IF(Y21="","",SUMIF($E$6:$Y$6,$I$6,$E21:$Y21))</f>
        <v>89</v>
      </c>
      <c r="AA21" s="31" t="str">
        <f>AA8</f>
        <v>A</v>
      </c>
      <c r="AB21" s="5"/>
      <c r="AC21" s="5"/>
      <c r="AD21" s="5"/>
    </row>
    <row r="22" ht="18" customHeight="1" spans="1:30" x14ac:dyDescent="0.25">
      <c r="A22" s="22">
        <v>16</v>
      </c>
      <c r="B22" s="23"/>
      <c r="C22" s="32"/>
      <c r="D22" s="36"/>
      <c r="E22" s="29">
        <v>1</v>
      </c>
      <c r="F22" s="29">
        <v>1</v>
      </c>
      <c r="G22" s="29">
        <v>1</v>
      </c>
      <c r="H22" s="29">
        <v>1</v>
      </c>
      <c r="I22" s="34">
        <v>0</v>
      </c>
      <c r="J22" s="42">
        <v>1</v>
      </c>
      <c r="K22" s="29">
        <v>1</v>
      </c>
      <c r="L22" s="29">
        <v>1</v>
      </c>
      <c r="M22" s="29">
        <v>1</v>
      </c>
      <c r="N22" s="34">
        <v>0</v>
      </c>
      <c r="O22" s="41">
        <v>1</v>
      </c>
      <c r="P22" s="29">
        <v>1</v>
      </c>
      <c r="Q22" s="42">
        <v>1</v>
      </c>
      <c r="R22" s="28">
        <v>0</v>
      </c>
      <c r="S22" s="41">
        <v>1</v>
      </c>
      <c r="T22" s="29">
        <v>1</v>
      </c>
      <c r="U22" s="29">
        <v>1</v>
      </c>
      <c r="V22" s="29">
        <v>1</v>
      </c>
      <c r="W22" s="29">
        <v>1</v>
      </c>
      <c r="X22" s="26">
        <v>0</v>
      </c>
      <c r="Y22" s="28">
        <v>0</v>
      </c>
      <c r="Z22" s="30">
        <f>IF(Y22="","",SUMIF($E$6:$Y$6,$I$6,$E22:$Y22))</f>
      </c>
      <c r="AA22" s="43" t="s">
        <v>34</v>
      </c>
      <c r="AB22" s="5"/>
      <c r="AC22" s="5"/>
      <c r="AD22" s="5"/>
    </row>
    <row r="23" ht="18" customHeight="1" spans="1:30" x14ac:dyDescent="0.25">
      <c r="A23" s="22">
        <v>17</v>
      </c>
      <c r="B23" s="23"/>
      <c r="C23" s="32"/>
      <c r="D23" s="36"/>
      <c r="E23" s="29">
        <v>1</v>
      </c>
      <c r="F23" s="29">
        <v>1</v>
      </c>
      <c r="G23" s="29">
        <v>1</v>
      </c>
      <c r="H23" s="29">
        <v>1</v>
      </c>
      <c r="I23" s="34">
        <v>0</v>
      </c>
      <c r="J23" s="42">
        <v>1</v>
      </c>
      <c r="K23" s="29">
        <v>1</v>
      </c>
      <c r="L23" s="29">
        <v>1</v>
      </c>
      <c r="M23" s="29">
        <v>1</v>
      </c>
      <c r="N23" s="34">
        <v>0</v>
      </c>
      <c r="O23" s="41">
        <v>1</v>
      </c>
      <c r="P23" s="29">
        <v>1</v>
      </c>
      <c r="Q23" s="42">
        <v>1</v>
      </c>
      <c r="R23" s="28">
        <v>0</v>
      </c>
      <c r="S23" s="41">
        <v>1</v>
      </c>
      <c r="T23" s="29">
        <v>1</v>
      </c>
      <c r="U23" s="29">
        <v>1</v>
      </c>
      <c r="V23" s="29">
        <v>1</v>
      </c>
      <c r="W23" s="29">
        <v>1</v>
      </c>
      <c r="X23" s="26">
        <v>0</v>
      </c>
      <c r="Y23" s="28">
        <v>0</v>
      </c>
      <c r="Z23" s="30">
        <f>IF(Y23="","",SUMIF($E$6:$Y$6,$I$6,$E23:$Y23))</f>
      </c>
      <c r="AA23" s="43" t="s">
        <v>35</v>
      </c>
      <c r="AB23" s="5"/>
      <c r="AC23" s="5"/>
      <c r="AD23" s="5"/>
    </row>
    <row r="24" ht="18" customHeight="1" spans="1:30" x14ac:dyDescent="0.25">
      <c r="A24" s="22">
        <v>18</v>
      </c>
      <c r="B24" s="23"/>
      <c r="C24" s="32"/>
      <c r="D24" s="36"/>
      <c r="E24" s="29">
        <v>5</v>
      </c>
      <c r="F24" s="29">
        <v>6</v>
      </c>
      <c r="G24" s="29">
        <v>6</v>
      </c>
      <c r="H24" s="29">
        <v>6</v>
      </c>
      <c r="I24" s="34">
        <f>IF(E24="","",SUM(E24:H24))</f>
        <v>23</v>
      </c>
      <c r="J24" s="26">
        <v>4</v>
      </c>
      <c r="K24" s="26">
        <v>5</v>
      </c>
      <c r="L24" s="44">
        <v>4</v>
      </c>
      <c r="M24" s="26">
        <v>5</v>
      </c>
      <c r="N24" s="34">
        <f t="shared" ref="N24:N29" si="6">IF(J24="","",SUM(J24:M24))</f>
        <v>18</v>
      </c>
      <c r="O24" s="41">
        <v>4</v>
      </c>
      <c r="P24" s="29">
        <v>5</v>
      </c>
      <c r="Q24" s="29">
        <v>4</v>
      </c>
      <c r="R24" s="28">
        <f t="shared" ref="R24:R29" si="7">IF(O24="","",SUM(O24:Q24))</f>
        <v>13</v>
      </c>
      <c r="S24" s="41">
        <v>6</v>
      </c>
      <c r="T24" s="29">
        <v>4</v>
      </c>
      <c r="U24" s="29">
        <v>5</v>
      </c>
      <c r="V24" s="29">
        <v>6</v>
      </c>
      <c r="W24" s="29">
        <v>5</v>
      </c>
      <c r="X24" s="26">
        <v>0</v>
      </c>
      <c r="Y24" s="28">
        <f>IF(S24="","",SUM(S24:X24))</f>
        <v>26</v>
      </c>
      <c r="Z24" s="30">
        <f>IF(Y24="","",SUMIF($E$6:$Y$6,$I$6,$E24:$Y24))</f>
        <v>80</v>
      </c>
      <c r="AA24" s="31" t="str">
        <f>AA8</f>
        <v>B</v>
      </c>
      <c r="AB24" s="5"/>
      <c r="AC24" s="5"/>
      <c r="AD24" s="5"/>
    </row>
    <row r="25" ht="18" customHeight="1" spans="1:30" x14ac:dyDescent="0.25">
      <c r="A25" s="22">
        <v>19</v>
      </c>
      <c r="B25" s="23"/>
      <c r="C25" s="32"/>
      <c r="D25" s="36"/>
      <c r="E25" s="29">
        <v>5</v>
      </c>
      <c r="F25" s="29">
        <v>5</v>
      </c>
      <c r="G25" s="29">
        <v>6</v>
      </c>
      <c r="H25" s="29">
        <v>6</v>
      </c>
      <c r="I25" s="34">
        <f>IF(E25="","",SUM(E25:H25))</f>
        <v>22</v>
      </c>
      <c r="J25" s="26">
        <v>5</v>
      </c>
      <c r="K25" s="38">
        <v>5</v>
      </c>
      <c r="L25" s="44">
        <v>5</v>
      </c>
      <c r="M25" s="26">
        <v>5</v>
      </c>
      <c r="N25" s="34">
        <f>N24</f>
        <v>20</v>
      </c>
      <c r="O25" s="29">
        <v>5</v>
      </c>
      <c r="P25" s="29">
        <v>6</v>
      </c>
      <c r="Q25" s="29">
        <v>5</v>
      </c>
      <c r="R25" s="28">
        <f>R24</f>
        <v>16</v>
      </c>
      <c r="S25" s="41">
        <v>6</v>
      </c>
      <c r="T25" s="29">
        <v>5</v>
      </c>
      <c r="U25" s="29">
        <v>5</v>
      </c>
      <c r="V25" s="29">
        <v>5</v>
      </c>
      <c r="W25" s="29">
        <v>6</v>
      </c>
      <c r="X25" s="26">
        <v>0</v>
      </c>
      <c r="Y25" s="28">
        <f>IF(S25="","",SUM(S25:X25))</f>
        <v>27</v>
      </c>
      <c r="Z25" s="30">
        <f>IF(Y25="","",SUMIF($E$6:$Y$6,$I$6,$E25:$Y25))</f>
        <v>85</v>
      </c>
      <c r="AA25" s="31" t="str">
        <f>AA8</f>
        <v>A</v>
      </c>
      <c r="AB25" s="5"/>
      <c r="AC25" s="5"/>
      <c r="AD25" s="5"/>
    </row>
    <row r="26" ht="18" customHeight="1" spans="1:30" x14ac:dyDescent="0.25">
      <c r="A26" s="22">
        <v>20</v>
      </c>
      <c r="B26" s="23"/>
      <c r="C26" s="32"/>
      <c r="D26" s="36"/>
      <c r="E26" s="29">
        <v>5</v>
      </c>
      <c r="F26" s="29">
        <v>6</v>
      </c>
      <c r="G26" s="29">
        <v>6</v>
      </c>
      <c r="H26" s="29">
        <v>6</v>
      </c>
      <c r="I26" s="34">
        <f t="shared" ref="I26:I38" si="8">IF(E26="","",SUM(E26:H26))</f>
        <v>23</v>
      </c>
      <c r="J26" s="26">
        <v>5</v>
      </c>
      <c r="K26" s="26">
        <v>5</v>
      </c>
      <c r="L26" s="44">
        <v>6</v>
      </c>
      <c r="M26" s="26">
        <v>5</v>
      </c>
      <c r="N26" s="34">
        <f>N24</f>
        <v>21</v>
      </c>
      <c r="O26" s="41">
        <v>6</v>
      </c>
      <c r="P26" s="29">
        <v>6</v>
      </c>
      <c r="Q26" s="29">
        <v>6</v>
      </c>
      <c r="R26" s="28">
        <f>R24</f>
        <v>18</v>
      </c>
      <c r="S26" s="41">
        <v>5</v>
      </c>
      <c r="T26" s="29">
        <v>5</v>
      </c>
      <c r="U26" s="29">
        <v>5</v>
      </c>
      <c r="V26" s="29">
        <v>4</v>
      </c>
      <c r="W26" s="29">
        <v>6</v>
      </c>
      <c r="X26" s="26"/>
      <c r="Y26" s="28">
        <f t="shared" ref="Y26:Y38" si="9">IF(S26="","",SUM(S26:X26))</f>
        <v>25</v>
      </c>
      <c r="Z26" s="30">
        <f>Z7</f>
        <v>87</v>
      </c>
      <c r="AA26" s="31" t="str">
        <f>AA8</f>
        <v>A</v>
      </c>
      <c r="AB26" s="5"/>
      <c r="AC26" s="5"/>
      <c r="AD26" s="5"/>
    </row>
    <row r="27" ht="18" customHeight="1" spans="1:30" x14ac:dyDescent="0.25">
      <c r="A27" s="22">
        <v>21</v>
      </c>
      <c r="B27" s="23"/>
      <c r="C27" s="32"/>
      <c r="D27" s="36"/>
      <c r="E27" s="29">
        <v>5</v>
      </c>
      <c r="F27" s="29">
        <v>5</v>
      </c>
      <c r="G27" s="29">
        <v>6</v>
      </c>
      <c r="H27" s="29">
        <v>5</v>
      </c>
      <c r="I27" s="34">
        <f>I26</f>
        <v>21</v>
      </c>
      <c r="J27" s="26">
        <v>6</v>
      </c>
      <c r="K27" s="26">
        <v>6</v>
      </c>
      <c r="L27" s="44">
        <v>5</v>
      </c>
      <c r="M27" s="44">
        <v>5</v>
      </c>
      <c r="N27" s="34">
        <f>N24</f>
        <v>22</v>
      </c>
      <c r="O27" s="26">
        <v>6</v>
      </c>
      <c r="P27" s="26">
        <v>6</v>
      </c>
      <c r="Q27" s="26">
        <v>5</v>
      </c>
      <c r="R27" s="28">
        <f>R24</f>
        <v>17</v>
      </c>
      <c r="S27" s="41">
        <v>6</v>
      </c>
      <c r="T27" s="29">
        <v>6</v>
      </c>
      <c r="U27" s="29">
        <v>5</v>
      </c>
      <c r="V27" s="29">
        <v>6</v>
      </c>
      <c r="W27" s="29">
        <v>2</v>
      </c>
      <c r="X27" s="26"/>
      <c r="Y27" s="28">
        <f>Y26</f>
        <v>25</v>
      </c>
      <c r="Z27" s="30">
        <f>Z7</f>
        <v>85</v>
      </c>
      <c r="AA27" s="31" t="str">
        <f>AA8</f>
        <v>A</v>
      </c>
      <c r="AB27" s="5"/>
      <c r="AC27" s="5"/>
      <c r="AD27" s="5"/>
    </row>
    <row r="28" ht="18" customHeight="1" spans="1:30" x14ac:dyDescent="0.25">
      <c r="A28" s="46">
        <v>22</v>
      </c>
      <c r="B28" s="23"/>
      <c r="C28" s="32"/>
      <c r="D28" s="36"/>
      <c r="E28" s="29">
        <v>5</v>
      </c>
      <c r="F28" s="29">
        <v>6</v>
      </c>
      <c r="G28" s="29">
        <v>6</v>
      </c>
      <c r="H28" s="29">
        <v>6</v>
      </c>
      <c r="I28" s="34">
        <f>I26</f>
        <v>23</v>
      </c>
      <c r="J28" s="26">
        <v>6</v>
      </c>
      <c r="K28" s="26">
        <v>5</v>
      </c>
      <c r="L28" s="44">
        <v>6</v>
      </c>
      <c r="M28" s="26">
        <v>6</v>
      </c>
      <c r="N28" s="34">
        <f>N24</f>
        <v>23</v>
      </c>
      <c r="O28" s="35">
        <v>5</v>
      </c>
      <c r="P28" s="26">
        <v>6</v>
      </c>
      <c r="Q28" s="26">
        <v>6</v>
      </c>
      <c r="R28" s="28">
        <f>R24</f>
        <v>17</v>
      </c>
      <c r="S28" s="41">
        <v>5</v>
      </c>
      <c r="T28" s="29">
        <v>6</v>
      </c>
      <c r="U28" s="29">
        <v>5</v>
      </c>
      <c r="V28" s="29">
        <v>5</v>
      </c>
      <c r="W28" s="29">
        <v>4</v>
      </c>
      <c r="X28" s="26"/>
      <c r="Y28" s="28">
        <f>Y26</f>
        <v>25</v>
      </c>
      <c r="Z28" s="30">
        <f>Z7</f>
        <v>88</v>
      </c>
      <c r="AA28" s="31" t="str">
        <f>AA8</f>
        <v>A</v>
      </c>
      <c r="AB28" s="5"/>
      <c r="AC28" s="5"/>
      <c r="AD28" s="5"/>
    </row>
    <row r="29" ht="18" customHeight="1" spans="1:30" x14ac:dyDescent="0.25">
      <c r="A29" s="46">
        <v>23</v>
      </c>
      <c r="B29" s="23"/>
      <c r="C29" s="32"/>
      <c r="D29" s="36"/>
      <c r="E29" s="29">
        <v>4</v>
      </c>
      <c r="F29" s="29">
        <v>6</v>
      </c>
      <c r="G29" s="29">
        <v>6</v>
      </c>
      <c r="H29" s="29">
        <v>6</v>
      </c>
      <c r="I29" s="34">
        <f>I26</f>
        <v>22</v>
      </c>
      <c r="J29" s="44">
        <v>6</v>
      </c>
      <c r="K29" s="26">
        <v>5</v>
      </c>
      <c r="L29" s="26">
        <v>6</v>
      </c>
      <c r="M29" s="26">
        <v>5</v>
      </c>
      <c r="N29" s="34">
        <f>N24</f>
        <v>22</v>
      </c>
      <c r="O29" s="37">
        <v>5</v>
      </c>
      <c r="P29" s="47">
        <v>6</v>
      </c>
      <c r="Q29" s="47">
        <v>6</v>
      </c>
      <c r="R29" s="28">
        <f>R24</f>
        <v>17</v>
      </c>
      <c r="S29" s="39">
        <v>5</v>
      </c>
      <c r="T29" s="40">
        <v>6</v>
      </c>
      <c r="U29" s="29">
        <v>5</v>
      </c>
      <c r="V29" s="29">
        <v>5</v>
      </c>
      <c r="W29" s="29">
        <v>4</v>
      </c>
      <c r="X29" s="26"/>
      <c r="Y29" s="28">
        <f>Y26</f>
        <v>25</v>
      </c>
      <c r="Z29" s="30">
        <f>Z7</f>
        <v>86</v>
      </c>
      <c r="AA29" s="31" t="str">
        <f>AA8</f>
        <v>A</v>
      </c>
      <c r="AB29" s="5"/>
      <c r="AC29" s="5"/>
      <c r="AD29" s="5"/>
    </row>
    <row r="30" ht="18" customHeight="1" spans="1:30" x14ac:dyDescent="0.25">
      <c r="A30" s="46">
        <v>24</v>
      </c>
      <c r="B30" s="23"/>
      <c r="C30" s="32"/>
      <c r="D30" s="36"/>
      <c r="E30" s="29">
        <v>1</v>
      </c>
      <c r="F30" s="29">
        <v>1</v>
      </c>
      <c r="G30" s="29">
        <v>1</v>
      </c>
      <c r="H30" s="29">
        <v>1</v>
      </c>
      <c r="I30" s="34">
        <v>0</v>
      </c>
      <c r="J30" s="42">
        <v>1</v>
      </c>
      <c r="K30" s="29">
        <v>1</v>
      </c>
      <c r="L30" s="29">
        <v>1</v>
      </c>
      <c r="M30" s="29">
        <v>1</v>
      </c>
      <c r="N30" s="34">
        <v>0</v>
      </c>
      <c r="O30" s="41">
        <v>1</v>
      </c>
      <c r="P30" s="29">
        <v>1</v>
      </c>
      <c r="Q30" s="42">
        <v>1</v>
      </c>
      <c r="R30" s="28">
        <v>0</v>
      </c>
      <c r="S30" s="41">
        <v>1</v>
      </c>
      <c r="T30" s="29">
        <v>1</v>
      </c>
      <c r="U30" s="29">
        <v>1</v>
      </c>
      <c r="V30" s="29">
        <v>1</v>
      </c>
      <c r="W30" s="29">
        <v>1</v>
      </c>
      <c r="X30" s="26">
        <v>0</v>
      </c>
      <c r="Y30" s="28">
        <v>0</v>
      </c>
      <c r="Z30" s="30">
        <f>IF(Y30="","",SUMIF($E$6:$Y$6,$I$6,$E30:$Y30))</f>
      </c>
      <c r="AA30" s="43" t="s">
        <v>34</v>
      </c>
      <c r="AB30" s="5"/>
      <c r="AC30" s="5"/>
      <c r="AD30" s="5"/>
    </row>
    <row r="31" ht="18" customHeight="1" spans="1:30" x14ac:dyDescent="0.25">
      <c r="A31" s="46">
        <v>25</v>
      </c>
      <c r="B31" s="23"/>
      <c r="C31" s="32"/>
      <c r="D31" s="36"/>
      <c r="E31" s="29">
        <v>5</v>
      </c>
      <c r="F31" s="29">
        <v>6</v>
      </c>
      <c r="G31" s="29">
        <v>6</v>
      </c>
      <c r="H31" s="29">
        <v>6</v>
      </c>
      <c r="I31" s="34">
        <f>I26</f>
        <v>23</v>
      </c>
      <c r="J31" s="44">
        <v>6</v>
      </c>
      <c r="K31" s="26">
        <v>5</v>
      </c>
      <c r="L31" s="26">
        <v>5</v>
      </c>
      <c r="M31" s="26">
        <v>5</v>
      </c>
      <c r="N31" s="34">
        <f t="shared" ref="N31:N38" si="10">IF(J31="","",SUM(J31:M31))</f>
        <v>21</v>
      </c>
      <c r="O31" s="37">
        <v>5</v>
      </c>
      <c r="P31" s="47">
        <v>6</v>
      </c>
      <c r="Q31" s="47">
        <v>6</v>
      </c>
      <c r="R31" s="28">
        <f t="shared" ref="R31:R38" si="11">IF(O31="","",SUM(O31:Q31))</f>
        <v>17</v>
      </c>
      <c r="S31" s="39">
        <v>5</v>
      </c>
      <c r="T31" s="40">
        <v>6</v>
      </c>
      <c r="U31" s="29">
        <v>5</v>
      </c>
      <c r="V31" s="29">
        <v>5</v>
      </c>
      <c r="W31" s="29">
        <v>3</v>
      </c>
      <c r="X31" s="26"/>
      <c r="Y31" s="28">
        <f>Y26</f>
        <v>24</v>
      </c>
      <c r="Z31" s="30">
        <f>Z7</f>
        <v>85</v>
      </c>
      <c r="AA31" s="31" t="str">
        <f>AA8</f>
        <v>A</v>
      </c>
      <c r="AB31" s="5"/>
      <c r="AC31" s="5"/>
      <c r="AD31" s="5"/>
    </row>
    <row r="32" ht="18" customHeight="1" spans="1:30" x14ac:dyDescent="0.25">
      <c r="A32" s="46">
        <v>26</v>
      </c>
      <c r="B32" s="23"/>
      <c r="C32" s="32"/>
      <c r="D32" s="36"/>
      <c r="E32" s="29">
        <v>5</v>
      </c>
      <c r="F32" s="29">
        <v>5</v>
      </c>
      <c r="G32" s="29">
        <v>6</v>
      </c>
      <c r="H32" s="29">
        <v>5</v>
      </c>
      <c r="I32" s="34">
        <f>I26</f>
        <v>21</v>
      </c>
      <c r="J32" s="44">
        <v>6</v>
      </c>
      <c r="K32" s="26">
        <v>5</v>
      </c>
      <c r="L32" s="26">
        <v>5</v>
      </c>
      <c r="M32" s="26">
        <v>6</v>
      </c>
      <c r="N32" s="34">
        <f>N31</f>
        <v>22</v>
      </c>
      <c r="O32" s="37">
        <v>6</v>
      </c>
      <c r="P32" s="47">
        <v>6</v>
      </c>
      <c r="Q32" s="47">
        <v>6</v>
      </c>
      <c r="R32" s="28">
        <f>R31</f>
        <v>18</v>
      </c>
      <c r="S32" s="39">
        <v>5</v>
      </c>
      <c r="T32" s="40">
        <v>6</v>
      </c>
      <c r="U32" s="29">
        <v>6</v>
      </c>
      <c r="V32" s="29">
        <v>6</v>
      </c>
      <c r="W32" s="29">
        <v>2</v>
      </c>
      <c r="X32" s="26"/>
      <c r="Y32" s="28">
        <f>Y26</f>
        <v>25</v>
      </c>
      <c r="Z32" s="30">
        <f>Z7</f>
        <v>86</v>
      </c>
      <c r="AA32" s="31" t="str">
        <f>AA8</f>
        <v>A</v>
      </c>
      <c r="AB32" s="5"/>
      <c r="AC32" s="5"/>
      <c r="AD32" s="5"/>
    </row>
    <row r="33" ht="18" customHeight="1" spans="1:30" x14ac:dyDescent="0.25">
      <c r="A33" s="46">
        <v>27</v>
      </c>
      <c r="B33" s="23"/>
      <c r="C33" s="32"/>
      <c r="D33" s="36"/>
      <c r="E33" s="29">
        <v>5</v>
      </c>
      <c r="F33" s="29">
        <v>5</v>
      </c>
      <c r="G33" s="29">
        <v>6</v>
      </c>
      <c r="H33" s="29">
        <v>5</v>
      </c>
      <c r="I33" s="34">
        <f>I26</f>
        <v>21</v>
      </c>
      <c r="J33" s="44">
        <v>5</v>
      </c>
      <c r="K33" s="26">
        <v>5</v>
      </c>
      <c r="L33" s="26">
        <v>5</v>
      </c>
      <c r="M33" s="26">
        <v>5</v>
      </c>
      <c r="N33" s="34">
        <f>N31</f>
        <v>20</v>
      </c>
      <c r="O33" s="37">
        <v>5</v>
      </c>
      <c r="P33" s="47">
        <v>5</v>
      </c>
      <c r="Q33" s="47">
        <v>5</v>
      </c>
      <c r="R33" s="28">
        <f>R31</f>
        <v>15</v>
      </c>
      <c r="S33" s="39">
        <v>5</v>
      </c>
      <c r="T33" s="40">
        <v>6</v>
      </c>
      <c r="U33" s="29">
        <v>5</v>
      </c>
      <c r="V33" s="29">
        <v>5</v>
      </c>
      <c r="W33" s="29">
        <v>4</v>
      </c>
      <c r="X33" s="26"/>
      <c r="Y33" s="28">
        <f>Y26</f>
        <v>25</v>
      </c>
      <c r="Z33" s="30">
        <f>Z7</f>
        <v>81</v>
      </c>
      <c r="AA33" s="31" t="str">
        <f>AA8</f>
        <v>B</v>
      </c>
      <c r="AB33" s="5"/>
      <c r="AC33" s="5"/>
      <c r="AD33" s="5"/>
    </row>
    <row r="34" ht="18" customHeight="1" spans="1:30" x14ac:dyDescent="0.25">
      <c r="A34" s="46">
        <v>28</v>
      </c>
      <c r="B34" s="23"/>
      <c r="C34" s="32"/>
      <c r="D34" s="36"/>
      <c r="E34" s="29">
        <v>5</v>
      </c>
      <c r="F34" s="29">
        <v>5</v>
      </c>
      <c r="G34" s="29">
        <v>6</v>
      </c>
      <c r="H34" s="29">
        <v>5</v>
      </c>
      <c r="I34" s="34">
        <f>I26</f>
        <v>21</v>
      </c>
      <c r="J34" s="44">
        <v>6</v>
      </c>
      <c r="K34" s="26">
        <v>6</v>
      </c>
      <c r="L34" s="26">
        <v>6</v>
      </c>
      <c r="M34" s="26">
        <v>6</v>
      </c>
      <c r="N34" s="34">
        <f>N31</f>
        <v>24</v>
      </c>
      <c r="O34" s="37">
        <v>5</v>
      </c>
      <c r="P34" s="47">
        <v>6</v>
      </c>
      <c r="Q34" s="47">
        <v>6</v>
      </c>
      <c r="R34" s="28">
        <f>R31</f>
        <v>17</v>
      </c>
      <c r="S34" s="39">
        <v>5</v>
      </c>
      <c r="T34" s="40">
        <v>6</v>
      </c>
      <c r="U34" s="29">
        <v>5</v>
      </c>
      <c r="V34" s="29">
        <v>5</v>
      </c>
      <c r="W34" s="29">
        <v>2</v>
      </c>
      <c r="X34" s="26"/>
      <c r="Y34" s="28">
        <f>Y26</f>
        <v>23</v>
      </c>
      <c r="Z34" s="30">
        <f>Z7</f>
        <v>85</v>
      </c>
      <c r="AA34" s="31" t="str">
        <f>AA8</f>
        <v>A</v>
      </c>
      <c r="AB34" s="5"/>
      <c r="AC34" s="5"/>
      <c r="AD34" s="5"/>
    </row>
    <row r="35" ht="18" customHeight="1" spans="1:30" x14ac:dyDescent="0.25">
      <c r="A35" s="46">
        <v>29</v>
      </c>
      <c r="B35" s="23"/>
      <c r="C35" s="32"/>
      <c r="D35" s="36"/>
      <c r="E35" s="29">
        <v>4</v>
      </c>
      <c r="F35" s="29">
        <v>5</v>
      </c>
      <c r="G35" s="29">
        <v>6</v>
      </c>
      <c r="H35" s="29">
        <v>5</v>
      </c>
      <c r="I35" s="34">
        <f>I26</f>
        <v>20</v>
      </c>
      <c r="J35" s="44">
        <v>6</v>
      </c>
      <c r="K35" s="26">
        <v>5</v>
      </c>
      <c r="L35" s="26">
        <v>6</v>
      </c>
      <c r="M35" s="26">
        <v>6</v>
      </c>
      <c r="N35" s="34">
        <f>N31</f>
        <v>23</v>
      </c>
      <c r="O35" s="37">
        <v>6</v>
      </c>
      <c r="P35" s="47">
        <v>6</v>
      </c>
      <c r="Q35" s="47">
        <v>6</v>
      </c>
      <c r="R35" s="28">
        <f>R31</f>
        <v>18</v>
      </c>
      <c r="S35" s="39">
        <v>5</v>
      </c>
      <c r="T35" s="40">
        <v>6</v>
      </c>
      <c r="U35" s="29">
        <v>5</v>
      </c>
      <c r="V35" s="29">
        <v>5</v>
      </c>
      <c r="W35" s="29">
        <v>6</v>
      </c>
      <c r="X35" s="26"/>
      <c r="Y35" s="28">
        <f>Y26</f>
        <v>27</v>
      </c>
      <c r="Z35" s="30">
        <f>Z7</f>
        <v>88</v>
      </c>
      <c r="AA35" s="31" t="str">
        <f>AA8</f>
        <v>A</v>
      </c>
      <c r="AB35" s="5"/>
      <c r="AC35" s="5"/>
      <c r="AD35" s="5"/>
    </row>
    <row r="36" ht="18" customHeight="1" spans="1:30" x14ac:dyDescent="0.25">
      <c r="A36" s="46">
        <v>30</v>
      </c>
      <c r="B36" s="23"/>
      <c r="C36" s="32"/>
      <c r="D36" s="36"/>
      <c r="E36" s="29">
        <v>6</v>
      </c>
      <c r="F36" s="29">
        <v>5</v>
      </c>
      <c r="G36" s="29">
        <v>5</v>
      </c>
      <c r="H36" s="29">
        <v>6</v>
      </c>
      <c r="I36" s="34">
        <f>I26</f>
        <v>22</v>
      </c>
      <c r="J36" s="44">
        <v>6</v>
      </c>
      <c r="K36" s="26">
        <v>5</v>
      </c>
      <c r="L36" s="26">
        <v>5</v>
      </c>
      <c r="M36" s="26">
        <v>5</v>
      </c>
      <c r="N36" s="34">
        <f>N31</f>
        <v>21</v>
      </c>
      <c r="O36" s="37">
        <v>5</v>
      </c>
      <c r="P36" s="47">
        <v>6</v>
      </c>
      <c r="Q36" s="47">
        <v>6</v>
      </c>
      <c r="R36" s="28">
        <f>R31</f>
        <v>17</v>
      </c>
      <c r="S36" s="39">
        <v>6</v>
      </c>
      <c r="T36" s="40">
        <v>6</v>
      </c>
      <c r="U36" s="29">
        <v>5</v>
      </c>
      <c r="V36" s="29">
        <v>5</v>
      </c>
      <c r="W36" s="29">
        <v>8</v>
      </c>
      <c r="X36" s="26"/>
      <c r="Y36" s="28">
        <f>Y26</f>
        <v>30</v>
      </c>
      <c r="Z36" s="30">
        <f>Z7</f>
        <v>90</v>
      </c>
      <c r="AA36" s="31" t="str">
        <f>AA8</f>
        <v>A</v>
      </c>
      <c r="AB36" s="5"/>
      <c r="AC36" s="5"/>
      <c r="AD36" s="5"/>
    </row>
    <row r="37" ht="18" customHeight="1" spans="1:30" x14ac:dyDescent="0.25">
      <c r="A37" s="46">
        <v>31</v>
      </c>
      <c r="B37" s="23"/>
      <c r="C37" s="32"/>
      <c r="D37" s="36"/>
      <c r="E37" s="29">
        <v>5</v>
      </c>
      <c r="F37" s="29">
        <v>5</v>
      </c>
      <c r="G37" s="29">
        <v>5</v>
      </c>
      <c r="H37" s="29">
        <v>5</v>
      </c>
      <c r="I37" s="34">
        <f>IF(E37="","",SUM(E37:H37))</f>
        <v>20</v>
      </c>
      <c r="J37" s="44">
        <v>5</v>
      </c>
      <c r="K37" s="26">
        <v>5</v>
      </c>
      <c r="L37" s="26">
        <v>5</v>
      </c>
      <c r="M37" s="26">
        <v>5</v>
      </c>
      <c r="N37" s="34">
        <f>IF(J37="","",SUM(J37:M37))</f>
        <v>20</v>
      </c>
      <c r="O37" s="37">
        <v>5</v>
      </c>
      <c r="P37" s="47">
        <v>5</v>
      </c>
      <c r="Q37" s="47">
        <v>6</v>
      </c>
      <c r="R37" s="28">
        <f>IF(O37="","",SUM(O37:Q37))</f>
        <v>16</v>
      </c>
      <c r="S37" s="39">
        <v>6</v>
      </c>
      <c r="T37" s="40">
        <v>6</v>
      </c>
      <c r="U37" s="29">
        <v>6</v>
      </c>
      <c r="V37" s="29">
        <v>5</v>
      </c>
      <c r="W37" s="29">
        <v>6</v>
      </c>
      <c r="X37" s="26"/>
      <c r="Y37" s="28">
        <f>IF(S37="","",SUM(S37:X37))</f>
        <v>29</v>
      </c>
      <c r="Z37" s="30">
        <f>IF(Y37="","",SUMIF($E$6:$Y$6,$I$6,$E37:$Y37))</f>
        <v>85</v>
      </c>
      <c r="AA37" s="31" t="str">
        <f>IF(Z37="","",IF(Z37&gt;=85,"A",IF(Z37&gt;=80,"B",IF(Z37&gt;=70,"C",IF(Z37&lt;70,"재교육")))))</f>
        <v>A</v>
      </c>
      <c r="AB37" s="5"/>
      <c r="AC37" s="5"/>
      <c r="AD37" s="5"/>
    </row>
    <row r="38" ht="18" customHeight="1" spans="1:30" x14ac:dyDescent="0.25">
      <c r="A38" s="46">
        <v>32</v>
      </c>
      <c r="B38" s="23"/>
      <c r="C38" s="32"/>
      <c r="D38" s="36"/>
      <c r="E38" s="29">
        <v>5</v>
      </c>
      <c r="F38" s="29">
        <v>5</v>
      </c>
      <c r="G38" s="29">
        <v>5</v>
      </c>
      <c r="H38" s="29">
        <v>5</v>
      </c>
      <c r="I38" s="34">
        <f>I26</f>
        <v>20</v>
      </c>
      <c r="J38" s="44">
        <v>6</v>
      </c>
      <c r="K38" s="26">
        <v>5</v>
      </c>
      <c r="L38" s="26">
        <v>5</v>
      </c>
      <c r="M38" s="26">
        <v>5</v>
      </c>
      <c r="N38" s="34">
        <f>N31</f>
        <v>21</v>
      </c>
      <c r="O38" s="37">
        <v>5</v>
      </c>
      <c r="P38" s="47">
        <v>5</v>
      </c>
      <c r="Q38" s="47">
        <v>5</v>
      </c>
      <c r="R38" s="28">
        <f>R31</f>
        <v>15</v>
      </c>
      <c r="S38" s="39">
        <v>6</v>
      </c>
      <c r="T38" s="40">
        <v>6</v>
      </c>
      <c r="U38" s="29">
        <v>6</v>
      </c>
      <c r="V38" s="29">
        <v>6</v>
      </c>
      <c r="W38" s="29">
        <v>6</v>
      </c>
      <c r="X38" s="26"/>
      <c r="Y38" s="28">
        <f>Y26</f>
        <v>30</v>
      </c>
      <c r="Z38" s="30">
        <f>Z7</f>
        <v>86</v>
      </c>
      <c r="AA38" s="31" t="str">
        <f>AA8</f>
        <v>A</v>
      </c>
      <c r="AB38" s="5"/>
      <c r="AC38" s="5"/>
      <c r="AD38" s="5"/>
    </row>
    <row r="39" spans="1:30" x14ac:dyDescent="0.25">
      <c r="A39" s="48" t="s">
        <v>36</v>
      </c>
      <c r="B39" s="48"/>
      <c r="C39" s="48"/>
      <c r="D39" s="48"/>
      <c r="E39" s="48" t="s">
        <v>37</v>
      </c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5"/>
      <c r="AC39" s="5"/>
      <c r="AD39" s="5"/>
    </row>
    <row r="40" spans="1:30" x14ac:dyDescent="0.25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  <c r="AA40" s="48"/>
      <c r="AB40" s="5"/>
      <c r="AC40" s="5"/>
      <c r="AD40" s="5"/>
    </row>
  </sheetData>
  <mergeCells count="22">
    <mergeCell ref="A1:O4"/>
    <mergeCell ref="P1:T2"/>
    <mergeCell ref="V1:W1"/>
    <mergeCell ref="X1:Y1"/>
    <mergeCell ref="Z1:AA1"/>
    <mergeCell ref="U1:U4"/>
    <mergeCell ref="V2:W4"/>
    <mergeCell ref="X2:Y4"/>
    <mergeCell ref="Z2:AA4"/>
    <mergeCell ref="P3:T4"/>
    <mergeCell ref="E5:I5"/>
    <mergeCell ref="J5:N5"/>
    <mergeCell ref="O5:R5"/>
    <mergeCell ref="S5:Y5"/>
    <mergeCell ref="A5:A6"/>
    <mergeCell ref="B5:B6"/>
    <mergeCell ref="C5:C6"/>
    <mergeCell ref="D5:D6"/>
    <mergeCell ref="Z5:Z6"/>
    <mergeCell ref="AA5:AA6"/>
    <mergeCell ref="A39:D40"/>
    <mergeCell ref="E39:AA40"/>
  </mergeCells>
  <dataValidations count="12">
    <dataValidation type="list" allowBlank="1" showInputMessage="1" showErrorMessage="1" sqref="E10:H38">
      <formula1>"6,5,4,3,2,1"</formula1>
    </dataValidation>
    <dataValidation type="list" allowBlank="1" showInputMessage="1" showErrorMessage="1" sqref="E7:H38">
      <formula1>"6,5,4,3,2,1"</formula1>
    </dataValidation>
    <dataValidation type="list" allowBlank="1" showInputMessage="1" showErrorMessage="1" sqref="J10:M38">
      <formula1>"6,5,4,3,2,1"</formula1>
    </dataValidation>
    <dataValidation type="list" allowBlank="1" showInputMessage="1" showErrorMessage="1" sqref="J7:M38">
      <formula1>"6,5,4,3,2,1"</formula1>
    </dataValidation>
    <dataValidation type="list" allowBlank="1" showInputMessage="1" showErrorMessage="1" sqref="O10:Q38">
      <formula1>"6,5,4,3,2,1"</formula1>
    </dataValidation>
    <dataValidation type="list" allowBlank="1" showInputMessage="1" showErrorMessage="1" sqref="O7:Q38">
      <formula1>"6,5,4,3,2,1"</formula1>
    </dataValidation>
    <dataValidation type="list" allowBlank="1" showInputMessage="1" showErrorMessage="1" sqref="S10:V38">
      <formula1>"6,5,4,3,2,1"</formula1>
    </dataValidation>
    <dataValidation type="list" allowBlank="1" showInputMessage="1" showErrorMessage="1" sqref="S7:V38">
      <formula1>"6,5,4,3,2,1"</formula1>
    </dataValidation>
    <dataValidation type="list" allowBlank="1" showInputMessage="1" showErrorMessage="1" sqref="W10:W38">
      <formula1>"10,9,8,7,6,5,4,3,2,1"</formula1>
    </dataValidation>
    <dataValidation type="list" allowBlank="1" showInputMessage="1" showErrorMessage="1" sqref="W7:W38">
      <formula1>"10,9,8,7,6,5,4,3,2,1"</formula1>
    </dataValidation>
    <dataValidation type="list" allowBlank="1" showInputMessage="1" showErrorMessage="1" sqref="X10:X38">
      <formula1>"6,5,4,3,2,1,0"</formula1>
    </dataValidation>
    <dataValidation type="list" allowBlank="1" showInputMessage="1" showErrorMessage="1" sqref="X7:X38">
      <formula1>"6,5,4,3,2,1,0"</formula1>
    </dataValidation>
  </dataValidations>
  <printOptions horizontalCentered="1" verticalCentered="1"/>
  <pageMargins left="0.3937007874015748" right="0.3937007874015748" top="0.7480314960629921" bottom="0.5905511811023623" header="0.31496062992125984" footer="0.31496062992125984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F2100-08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2026-08-23T07:26:30Z</dcterms:created>
  <dcterms:modified xsi:type="dcterms:W3CDTF">2026-08-23T07:26:30Z</dcterms:modified>
</cp:coreProperties>
</file>