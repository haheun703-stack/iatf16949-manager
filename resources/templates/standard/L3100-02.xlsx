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3100-02" state="visible" r:id="rId4"/>
  </sheets>
  <calcPr calcId="171027"/>
</workbook>
</file>

<file path=xl/sharedStrings.xml><?xml version="1.0" encoding="utf-8"?>
<sst xmlns="http://schemas.openxmlformats.org/spreadsheetml/2006/main" count="23" uniqueCount="22">
  <si>
    <t>계 측 기   이 력 카 드</t>
  </si>
  <si>
    <t>관리번호</t>
  </si>
  <si>
    <t>계측기명</t>
  </si>
  <si>
    <t>규      격</t>
  </si>
  <si>
    <t>교정주기</t>
  </si>
  <si>
    <t>기기번호</t>
  </si>
  <si>
    <t>취득일자</t>
  </si>
  <si>
    <t>구입회사</t>
  </si>
  <si>
    <t>구입금액</t>
  </si>
  <si>
    <t>사      진</t>
  </si>
  <si>
    <t>사용 및 불출 현황</t>
  </si>
  <si>
    <t>일  자</t>
  </si>
  <si>
    <t>부서명</t>
  </si>
  <si>
    <t>용        도</t>
  </si>
  <si>
    <t>비    고</t>
  </si>
  <si>
    <t>교정(점검) 및 수리 이력 현황</t>
  </si>
  <si>
    <t>이 력 사 항</t>
  </si>
  <si>
    <t xml:space="preserve">검교정
결  과</t>
  </si>
  <si>
    <t xml:space="preserve">검교정
기  관</t>
  </si>
  <si>
    <t xml:space="preserve">차  기
교정일</t>
  </si>
  <si>
    <t xml:space="preserve">담 당
확 인</t>
  </si>
  <si>
    <t>비  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</si>
</sst>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&quot;년&quot; m&quot;월&quot; d&quot;일&quot;;@"/>
  </numFmts>
  <fonts count="3" x14ac:knownFonts="1">
    <font>
      <color theme="1"/>
      <family val="2"/>
      <scheme val="minor"/>
      <sz val="11"/>
      <name val="Calibri"/>
    </font>
    <font>
      <charset val="129"/>
      <family val="1"/>
      <sz val="10"/>
      <name val="HY헤드라인M"/>
    </font>
    <font>
      <charset val="129"/>
      <family val="1"/>
      <sz val="28"/>
      <name val="HY헤드라인M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/>
      <right/>
      <top style="thin"/>
      <bottom style="thin"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workbookViewId="0" zoomScale="100" zoomScaleNormal="100" view="pageBreakPreview">
      <selection activeCell="G13" sqref="G13"/>
    </sheetView>
  </sheetViews>
  <sheetFormatPr defaultRowHeight="12" outlineLevelRow="0" outlineLevelCol="0" x14ac:dyDescent="0" defaultColWidth="9" customHeight="1"/>
  <cols>
    <col min="1" max="1" width="14.625" customWidth="1"/>
    <col min="2" max="3" width="13.625" customWidth="1"/>
    <col min="4" max="5" width="7.625" customWidth="1"/>
    <col min="6" max="7" width="8.625" customWidth="1"/>
    <col min="8" max="8" width="6.25" customWidth="1"/>
    <col min="9" max="9" width="3.375" customWidth="1"/>
  </cols>
  <sheetData>
    <row r="1" ht="40.5" customHeight="1" spans="1:9" x14ac:dyDescent="0.25">
      <c r="A1" s="1"/>
      <c r="B1" s="2" t="s">
        <v>0</v>
      </c>
      <c r="C1" s="2"/>
      <c r="D1" s="2"/>
      <c r="E1" s="2"/>
      <c r="F1" s="2"/>
      <c r="G1" s="2"/>
      <c r="H1" s="2"/>
      <c r="I1" s="2"/>
    </row>
    <row r="2" ht="15.75" customHeight="1" spans="1:9" x14ac:dyDescent="0.25">
      <c r="A2" s="1"/>
      <c r="B2" s="2"/>
      <c r="C2" s="2"/>
      <c r="D2" s="2"/>
      <c r="E2" s="2"/>
      <c r="F2" s="2"/>
      <c r="G2" s="2"/>
      <c r="H2" s="2"/>
      <c r="I2" s="2"/>
    </row>
    <row r="3" ht="2.25" customHeight="1" spans="1:9" x14ac:dyDescent="0.25">
      <c r="A3" s="3"/>
      <c r="B3" s="3"/>
      <c r="C3" s="3"/>
      <c r="D3" s="3"/>
      <c r="E3" s="3"/>
      <c r="F3" s="3"/>
      <c r="G3" s="3"/>
      <c r="H3" s="3"/>
      <c r="I3" s="3"/>
    </row>
    <row r="4" ht="18.75" customHeight="1" spans="1:9" x14ac:dyDescent="0.25">
      <c r="A4" s="4" t="s">
        <v>1</v>
      </c>
      <c r="B4" s="4">
        <f>IF($I$2="","",VLOOKUP($I$2,#REF!,2,0))</f>
      </c>
      <c r="C4" s="4"/>
      <c r="D4" s="4" t="s">
        <v>2</v>
      </c>
      <c r="E4" s="4"/>
      <c r="F4" s="4">
        <f>IF($I$2="","",VLOOKUP($I$2,#REF!,3,0))</f>
      </c>
      <c r="G4" s="4"/>
      <c r="H4" s="4"/>
      <c r="I4" s="4"/>
    </row>
    <row r="5" ht="18.75" customHeight="1" spans="1:9" x14ac:dyDescent="0.25">
      <c r="A5" s="4" t="s">
        <v>3</v>
      </c>
      <c r="B5" s="4">
        <f>IF($I$2="","",VLOOKUP($I$2,#REF!,4,0))</f>
      </c>
      <c r="C5" s="4"/>
      <c r="D5" s="4" t="s">
        <v>4</v>
      </c>
      <c r="E5" s="4"/>
      <c r="F5" s="4">
        <f>IF($I$2="","",VLOOKUP($I$2,#REF!,10,0))</f>
      </c>
      <c r="G5" s="4"/>
      <c r="H5" s="4"/>
      <c r="I5" s="4"/>
    </row>
    <row r="6" ht="18.75" customHeight="1" spans="1:9" x14ac:dyDescent="0.25">
      <c r="A6" s="4" t="s">
        <v>5</v>
      </c>
      <c r="B6" s="4">
        <f>IF($I$2="","",VLOOKUP($I$2,#REF!,5,0))</f>
      </c>
      <c r="C6" s="4"/>
      <c r="D6" s="4" t="s">
        <v>6</v>
      </c>
      <c r="E6" s="4"/>
      <c r="F6" s="4">
        <f>IF($I$2="","",VLOOKUP($I$2,#REF!,6,0))</f>
      </c>
      <c r="G6" s="4"/>
      <c r="H6" s="4"/>
      <c r="I6" s="4"/>
    </row>
    <row r="7" ht="18.75" customHeight="1" spans="1:9" x14ac:dyDescent="0.25">
      <c r="A7" s="5" t="s">
        <v>7</v>
      </c>
      <c r="B7" s="4">
        <f>IF($I$2="","",VLOOKUP($I$2,#REF!,8,0))</f>
      </c>
      <c r="C7" s="4"/>
      <c r="D7" s="4" t="s">
        <v>8</v>
      </c>
      <c r="E7" s="4"/>
      <c r="F7" s="4">
        <f>IF($I$2="","",VLOOKUP($I$2,#REF!,7,0))</f>
      </c>
      <c r="G7" s="4"/>
      <c r="H7" s="4"/>
      <c r="I7" s="4"/>
    </row>
    <row r="8" ht="18.75" customHeight="1" spans="1:9" x14ac:dyDescent="0.25">
      <c r="A8" s="5" t="s">
        <v>9</v>
      </c>
      <c r="B8" s="6"/>
      <c r="C8" s="6"/>
      <c r="D8" s="6"/>
      <c r="E8" s="6"/>
      <c r="F8" s="6"/>
      <c r="G8" s="6"/>
      <c r="H8" s="6"/>
      <c r="I8" s="7"/>
    </row>
    <row r="9" ht="18.75" customHeight="1" spans="1:9" x14ac:dyDescent="0.25">
      <c r="A9" s="8"/>
      <c r="B9" s="3"/>
      <c r="C9" s="3"/>
      <c r="D9" s="3"/>
      <c r="E9" s="3"/>
      <c r="F9" s="3"/>
      <c r="G9" s="3"/>
      <c r="H9" s="3"/>
      <c r="I9" s="9"/>
    </row>
    <row r="10" ht="18.75" customHeight="1" spans="1:9" x14ac:dyDescent="0.25">
      <c r="A10" s="8"/>
      <c r="B10" s="3"/>
      <c r="C10" s="3"/>
      <c r="D10" s="3"/>
      <c r="E10" s="3"/>
      <c r="F10" s="3"/>
      <c r="G10" s="3"/>
      <c r="H10" s="3"/>
      <c r="I10" s="9"/>
    </row>
    <row r="11" ht="18.75" customHeight="1" spans="1:9" x14ac:dyDescent="0.25">
      <c r="A11" s="8"/>
      <c r="B11" s="3"/>
      <c r="C11" s="3"/>
      <c r="D11" s="3"/>
      <c r="E11" s="3"/>
      <c r="F11" s="3"/>
      <c r="G11" s="3"/>
      <c r="H11" s="3"/>
      <c r="I11" s="9"/>
    </row>
    <row r="12" ht="18.75" customHeight="1" spans="1:9" x14ac:dyDescent="0.25">
      <c r="A12" s="8"/>
      <c r="B12" s="3"/>
      <c r="C12" s="3"/>
      <c r="D12" s="3"/>
      <c r="E12" s="3"/>
      <c r="F12" s="3"/>
      <c r="G12" s="3"/>
      <c r="H12" s="3"/>
      <c r="I12" s="9"/>
    </row>
    <row r="13" ht="18.75" customHeight="1" spans="1:9" x14ac:dyDescent="0.25">
      <c r="A13" s="8"/>
      <c r="B13" s="3"/>
      <c r="C13" s="3"/>
      <c r="D13" s="3"/>
      <c r="E13" s="3"/>
      <c r="F13" s="3"/>
      <c r="G13" s="3"/>
      <c r="H13" s="3"/>
      <c r="I13" s="9"/>
    </row>
    <row r="14" ht="18.75" customHeight="1" spans="1:9" x14ac:dyDescent="0.25">
      <c r="A14" s="8"/>
      <c r="B14" s="3"/>
      <c r="C14" s="3"/>
      <c r="D14" s="3"/>
      <c r="E14" s="3"/>
      <c r="F14" s="3"/>
      <c r="G14" s="3"/>
      <c r="H14" s="3"/>
      <c r="I14" s="9"/>
    </row>
    <row r="15" ht="18.75" customHeight="1" spans="1:9" x14ac:dyDescent="0.25">
      <c r="A15" s="8"/>
      <c r="B15" s="3"/>
      <c r="C15" s="3"/>
      <c r="D15" s="3"/>
      <c r="E15" s="3"/>
      <c r="F15" s="3"/>
      <c r="G15" s="3"/>
      <c r="H15" s="3"/>
      <c r="I15" s="9"/>
    </row>
    <row r="16" ht="18.75" customHeight="1" spans="1:9" x14ac:dyDescent="0.25">
      <c r="A16" s="8"/>
      <c r="B16" s="3"/>
      <c r="C16" s="3"/>
      <c r="D16" s="3"/>
      <c r="E16" s="3"/>
      <c r="F16" s="3"/>
      <c r="G16" s="3"/>
      <c r="H16" s="3"/>
      <c r="I16" s="9"/>
    </row>
    <row r="17" ht="18.75" customHeight="1" spans="1:9" x14ac:dyDescent="0.25">
      <c r="A17" s="8"/>
      <c r="B17" s="3"/>
      <c r="C17" s="3"/>
      <c r="D17" s="3"/>
      <c r="E17" s="3"/>
      <c r="F17" s="3"/>
      <c r="G17" s="3"/>
      <c r="H17" s="3"/>
      <c r="I17" s="9"/>
    </row>
    <row r="18" ht="18.75" customHeight="1" spans="1:9" x14ac:dyDescent="0.25">
      <c r="A18" s="8"/>
      <c r="B18" s="3"/>
      <c r="C18" s="3"/>
      <c r="D18" s="3"/>
      <c r="E18" s="3"/>
      <c r="F18" s="3"/>
      <c r="G18" s="3"/>
      <c r="H18" s="3"/>
      <c r="I18" s="9"/>
    </row>
    <row r="19" ht="18.75" customHeight="1" spans="1:9" x14ac:dyDescent="0.25">
      <c r="A19" s="8"/>
      <c r="B19" s="3"/>
      <c r="C19" s="3"/>
      <c r="D19" s="3"/>
      <c r="E19" s="3"/>
      <c r="F19" s="3"/>
      <c r="G19" s="3"/>
      <c r="H19" s="3"/>
      <c r="I19" s="9"/>
    </row>
    <row r="20" ht="18.75" customHeight="1" spans="1:9" x14ac:dyDescent="0.25">
      <c r="A20" s="8"/>
      <c r="B20" s="3"/>
      <c r="C20" s="3"/>
      <c r="D20" s="3"/>
      <c r="E20" s="3"/>
      <c r="F20" s="3"/>
      <c r="G20" s="3"/>
      <c r="H20" s="3"/>
      <c r="I20" s="9"/>
    </row>
    <row r="21" ht="18.75" customHeight="1" spans="1:9" x14ac:dyDescent="0.25">
      <c r="A21" s="8"/>
      <c r="B21" s="3"/>
      <c r="C21" s="3"/>
      <c r="D21" s="3"/>
      <c r="E21" s="3"/>
      <c r="F21" s="3"/>
      <c r="G21" s="3"/>
      <c r="H21" s="3"/>
      <c r="I21" s="9"/>
    </row>
    <row r="22" ht="18.75" customHeight="1" spans="1:9" x14ac:dyDescent="0.25">
      <c r="A22" s="10"/>
      <c r="B22" s="11"/>
      <c r="C22" s="11"/>
      <c r="D22" s="11"/>
      <c r="E22" s="11"/>
      <c r="F22" s="11"/>
      <c r="G22" s="11"/>
      <c r="H22" s="11"/>
      <c r="I22" s="12"/>
    </row>
    <row r="23" ht="22.5" customHeight="1" spans="1:9" x14ac:dyDescent="0.25">
      <c r="A23" s="13" t="s">
        <v>10</v>
      </c>
      <c r="B23" s="13"/>
      <c r="C23" s="13"/>
      <c r="D23" s="13"/>
      <c r="E23" s="13"/>
      <c r="F23" s="13"/>
      <c r="G23" s="13"/>
      <c r="H23" s="13"/>
      <c r="I23" s="13"/>
    </row>
    <row r="24" ht="19.5" customHeight="1" spans="1:9" x14ac:dyDescent="0.25">
      <c r="A24" s="1" t="s">
        <v>11</v>
      </c>
      <c r="B24" s="1" t="s">
        <v>12</v>
      </c>
      <c r="C24" s="4" t="s">
        <v>13</v>
      </c>
      <c r="D24" s="4"/>
      <c r="E24" s="4"/>
      <c r="F24" s="4"/>
      <c r="G24" s="1" t="s">
        <v>14</v>
      </c>
      <c r="H24" s="1"/>
      <c r="I24" s="1"/>
    </row>
    <row r="25" ht="19.5" customHeight="1" spans="1:9" x14ac:dyDescent="0.25">
      <c r="A25" s="14"/>
      <c r="B25" s="1"/>
      <c r="C25" s="4"/>
      <c r="D25" s="4"/>
      <c r="E25" s="4"/>
      <c r="F25" s="4"/>
      <c r="G25" s="1"/>
      <c r="H25" s="1"/>
      <c r="I25" s="1"/>
    </row>
    <row r="26" ht="19.5" customHeight="1" spans="1:9" x14ac:dyDescent="0.25">
      <c r="A26" s="15"/>
      <c r="B26" s="1"/>
      <c r="C26" s="4"/>
      <c r="D26" s="4"/>
      <c r="E26" s="4"/>
      <c r="F26" s="4"/>
      <c r="G26" s="1"/>
      <c r="H26" s="1"/>
      <c r="I26" s="1"/>
    </row>
    <row r="27" ht="19.5" customHeight="1" spans="1:9" x14ac:dyDescent="0.25">
      <c r="A27" s="15"/>
      <c r="B27" s="1"/>
      <c r="C27" s="4"/>
      <c r="D27" s="4"/>
      <c r="E27" s="4"/>
      <c r="F27" s="4"/>
      <c r="G27" s="1"/>
      <c r="H27" s="1"/>
      <c r="I27" s="1"/>
    </row>
    <row r="28" ht="22.5" customHeight="1" spans="1:9" x14ac:dyDescent="0.25">
      <c r="A28" s="16" t="s">
        <v>15</v>
      </c>
      <c r="B28" s="16"/>
      <c r="C28" s="16"/>
      <c r="D28" s="16"/>
      <c r="E28" s="16"/>
      <c r="F28" s="16"/>
      <c r="G28" s="16"/>
      <c r="H28" s="16"/>
      <c r="I28" s="16"/>
    </row>
    <row r="29" ht="24.75" customHeight="1" spans="1:9" x14ac:dyDescent="0.25">
      <c r="A29" s="1" t="s">
        <v>11</v>
      </c>
      <c r="B29" s="1" t="s">
        <v>16</v>
      </c>
      <c r="C29" s="1"/>
      <c r="D29" s="17" t="s">
        <v>17</v>
      </c>
      <c r="E29" s="17" t="s">
        <v>18</v>
      </c>
      <c r="F29" s="17" t="s">
        <v>19</v>
      </c>
      <c r="G29" s="17" t="s">
        <v>20</v>
      </c>
      <c r="H29" s="4" t="s">
        <v>21</v>
      </c>
      <c r="I29" s="4"/>
    </row>
    <row r="30" ht="19.5" customHeight="1" spans="1:9" x14ac:dyDescent="0.25">
      <c r="A30" s="1"/>
      <c r="B30" s="1"/>
      <c r="C30" s="1"/>
      <c r="D30" s="1"/>
      <c r="E30" s="1"/>
      <c r="F30" s="18"/>
      <c r="G30" s="1"/>
      <c r="H30" s="4"/>
      <c r="I30" s="4"/>
    </row>
    <row r="31" ht="19.5" customHeight="1" spans="1:9" x14ac:dyDescent="0.25">
      <c r="A31" s="1"/>
      <c r="B31" s="1"/>
      <c r="C31" s="1"/>
      <c r="D31" s="1"/>
      <c r="E31" s="1"/>
      <c r="F31" s="1"/>
      <c r="G31" s="1"/>
      <c r="H31" s="4"/>
      <c r="I31" s="4"/>
    </row>
    <row r="32" ht="19.5" customHeight="1" spans="1:9" x14ac:dyDescent="0.25">
      <c r="A32" s="1"/>
      <c r="B32" s="1"/>
      <c r="C32" s="1"/>
      <c r="D32" s="1"/>
      <c r="E32" s="1"/>
      <c r="F32" s="1"/>
      <c r="G32" s="1"/>
      <c r="H32" s="4"/>
      <c r="I32" s="4"/>
    </row>
    <row r="33" ht="19.5" customHeight="1" spans="1:9" x14ac:dyDescent="0.25">
      <c r="A33" s="1"/>
      <c r="B33" s="1"/>
      <c r="C33" s="1"/>
      <c r="D33" s="1"/>
      <c r="E33" s="1"/>
      <c r="F33" s="1"/>
      <c r="G33" s="1"/>
      <c r="H33" s="4"/>
      <c r="I33" s="4"/>
    </row>
    <row r="34" ht="19.5" customHeight="1" spans="1:9" x14ac:dyDescent="0.25">
      <c r="A34" s="1"/>
      <c r="B34" s="1"/>
      <c r="C34" s="1"/>
      <c r="D34" s="1"/>
      <c r="E34" s="1"/>
      <c r="F34" s="1"/>
      <c r="G34" s="1"/>
      <c r="H34" s="4"/>
      <c r="I34" s="4"/>
    </row>
    <row r="35" ht="19.5" customHeight="1" spans="1:9" x14ac:dyDescent="0.25">
      <c r="A35" s="1"/>
      <c r="B35" s="1"/>
      <c r="C35" s="1"/>
      <c r="D35" s="1"/>
      <c r="E35" s="1"/>
      <c r="F35" s="1"/>
      <c r="G35" s="1"/>
      <c r="H35" s="4"/>
      <c r="I35" s="4"/>
    </row>
    <row r="36" ht="19.5" customHeight="1" spans="1:9" x14ac:dyDescent="0.25">
      <c r="A36" s="1"/>
      <c r="B36" s="1"/>
      <c r="C36" s="1"/>
      <c r="D36" s="1"/>
      <c r="E36" s="1"/>
      <c r="F36" s="1"/>
      <c r="G36" s="1"/>
      <c r="H36" s="4"/>
      <c r="I36" s="4"/>
    </row>
  </sheetData>
  <mergeCells count="40">
    <mergeCell ref="B1:I2"/>
    <mergeCell ref="A1:A2"/>
    <mergeCell ref="B4:C4"/>
    <mergeCell ref="D4:E4"/>
    <mergeCell ref="F4:I4"/>
    <mergeCell ref="B5:C5"/>
    <mergeCell ref="D5:E5"/>
    <mergeCell ref="F5:I5"/>
    <mergeCell ref="B6:C6"/>
    <mergeCell ref="D6:E6"/>
    <mergeCell ref="F6:I6"/>
    <mergeCell ref="B7:C7"/>
    <mergeCell ref="D7:E7"/>
    <mergeCell ref="F7:I7"/>
    <mergeCell ref="A23:I23"/>
    <mergeCell ref="C24:F24"/>
    <mergeCell ref="G24:I24"/>
    <mergeCell ref="C25:F25"/>
    <mergeCell ref="G25:I25"/>
    <mergeCell ref="C26:F26"/>
    <mergeCell ref="G26:I26"/>
    <mergeCell ref="C27:F27"/>
    <mergeCell ref="G27:I27"/>
    <mergeCell ref="A28:I28"/>
    <mergeCell ref="B29:C29"/>
    <mergeCell ref="H29:I29"/>
    <mergeCell ref="B30:C30"/>
    <mergeCell ref="H30:I30"/>
    <mergeCell ref="B31:C31"/>
    <mergeCell ref="H31:I31"/>
    <mergeCell ref="B32:C32"/>
    <mergeCell ref="H32:I32"/>
    <mergeCell ref="B33:C33"/>
    <mergeCell ref="H33:I33"/>
    <mergeCell ref="B34:C34"/>
    <mergeCell ref="H34:I34"/>
    <mergeCell ref="B35:C35"/>
    <mergeCell ref="H35:I35"/>
    <mergeCell ref="B36:C36"/>
    <mergeCell ref="H36:I36"/>
  </mergeCells>
  <printOptions horizontalCentered="1" verticalCentered="1"/>
  <pageMargins left="0.5905511811023623" right="0.4330708661417323" top="0.9448818897637796" bottom="0.7086614173228347" header="0.5118110236220472" footer="0.433070866141732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L3100-02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2026-08-23T07:26:36Z</dcterms:created>
  <dcterms:modified xsi:type="dcterms:W3CDTF">2026-08-23T07:26:36Z</dcterms:modified>
</cp:coreProperties>
</file>