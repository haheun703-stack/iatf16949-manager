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3101-02" state="visible" r:id="rId4"/>
  </sheets>
  <definedNames>
    <definedName name="_xlnm.Print_Area" localSheetId="0">'L3101-02'!$A1:$Z48</definedName>
  </definedNames>
  <calcPr calcId="171027"/>
</workbook>
</file>

<file path=xl/sharedStrings.xml><?xml version="1.0" encoding="utf-8"?>
<sst xmlns="http://schemas.openxmlformats.org/spreadsheetml/2006/main" count="175" uniqueCount="133">
  <si>
    <r>
      <t xml:space="preserve">     [ </t>
    </r>
    <r>
      <rPr>
        <b/>
        <charset val="129"/>
        <family val="3"/>
        <sz val="14"/>
        <rFont val="돋움"/>
      </rPr>
      <t>계량형</t>
    </r>
    <r>
      <rPr>
        <b/>
        <family val="2"/>
        <sz val="14"/>
        <rFont val="Arial"/>
      </rPr>
      <t xml:space="preserve"> GAGE R&amp;R - </t>
    </r>
    <r>
      <rPr>
        <b/>
        <charset val="129"/>
        <family val="3"/>
        <sz val="14"/>
        <rFont val="돋움"/>
      </rPr>
      <t>측정시스템</t>
    </r>
    <r>
      <rPr>
        <b/>
        <family val="2"/>
        <sz val="14"/>
        <rFont val="Arial"/>
      </rPr>
      <t xml:space="preserve"> </t>
    </r>
    <r>
      <rPr>
        <b/>
        <charset val="129"/>
        <family val="3"/>
        <sz val="14"/>
        <rFont val="돋움"/>
      </rPr>
      <t>평가</t>
    </r>
    <r>
      <rPr>
        <b/>
        <charset val="129"/>
        <family val="3"/>
        <sz val="14"/>
        <rFont val="돋움"/>
      </rPr>
      <t>시트</t>
    </r>
    <r>
      <rPr>
        <b/>
        <family val="2"/>
        <sz val="14"/>
        <rFont val="Arial"/>
      </rPr>
      <t xml:space="preserve"> ]</t>
    </r>
  </si>
  <si>
    <r>
      <t xml:space="preserve">[ </t>
    </r>
    <r>
      <rPr>
        <b/>
        <charset val="129"/>
        <family val="3"/>
        <sz val="14"/>
        <rFont val="돋움"/>
      </rPr>
      <t>계량형</t>
    </r>
    <r>
      <rPr>
        <b/>
        <family val="2"/>
        <sz val="14"/>
        <rFont val="Arial"/>
      </rPr>
      <t xml:space="preserve"> GAGE R&amp;R - </t>
    </r>
    <r>
      <rPr>
        <b/>
        <charset val="129"/>
        <family val="3"/>
        <sz val="14"/>
        <rFont val="돋움"/>
      </rPr>
      <t>측정시스템</t>
    </r>
    <r>
      <rPr>
        <b/>
        <family val="2"/>
        <sz val="14"/>
        <rFont val="Arial"/>
      </rPr>
      <t xml:space="preserve"> </t>
    </r>
    <r>
      <rPr>
        <b/>
        <charset val="129"/>
        <family val="3"/>
        <sz val="14"/>
        <rFont val="돋움"/>
      </rPr>
      <t>평가</t>
    </r>
    <r>
      <rPr>
        <b/>
        <charset val="129"/>
        <family val="3"/>
        <sz val="14"/>
        <rFont val="돋움"/>
      </rPr>
      <t>보고서</t>
    </r>
    <r>
      <rPr>
        <b/>
        <family val="2"/>
        <sz val="14"/>
        <rFont val="Arial"/>
      </rPr>
      <t xml:space="preserve"> ]</t>
    </r>
  </si>
  <si>
    <t>GAGE REPEATABILITY AND REPRODUCIBILITY DATA SHEET</t>
  </si>
  <si>
    <t>VARIABLE DATA RESULTS</t>
  </si>
  <si>
    <r>
      <t>Part Number (</t>
    </r>
    <r>
      <rPr>
        <charset val="129"/>
        <family val="3"/>
        <sz val="8"/>
        <rFont val="돋움"/>
      </rPr>
      <t>품번</t>
    </r>
    <r>
      <rPr>
        <family val="2"/>
        <sz val="8"/>
        <rFont val="Arial"/>
      </rPr>
      <t>)</t>
    </r>
  </si>
  <si>
    <r>
      <t>Gage Name (</t>
    </r>
    <r>
      <rPr>
        <charset val="129"/>
        <family val="3"/>
        <sz val="8"/>
        <rFont val="돋움"/>
      </rPr>
      <t>계측기명</t>
    </r>
    <r>
      <rPr>
        <family val="2"/>
        <sz val="8"/>
        <rFont val="Arial"/>
      </rPr>
      <t>)</t>
    </r>
  </si>
  <si>
    <r>
      <t>Appraiser A (</t>
    </r>
    <r>
      <rPr>
        <charset val="129"/>
        <family val="3"/>
        <sz val="8"/>
        <rFont val="돋움"/>
      </rPr>
      <t>측정자</t>
    </r>
    <r>
      <rPr>
        <family val="2"/>
        <sz val="8"/>
        <rFont val="Arial"/>
      </rPr>
      <t>)</t>
    </r>
  </si>
  <si>
    <t>Part Number</t>
  </si>
  <si>
    <t>Gage Name</t>
  </si>
  <si>
    <t>Appraiser A</t>
  </si>
  <si>
    <t>31040-D3500</t>
  </si>
  <si>
    <t>V/C</t>
  </si>
  <si>
    <t>현재성</t>
  </si>
  <si>
    <r>
      <t>Part Name (</t>
    </r>
    <r>
      <rPr>
        <charset val="129"/>
        <family val="3"/>
        <sz val="8"/>
        <rFont val="돋움"/>
      </rPr>
      <t>품명</t>
    </r>
    <r>
      <rPr>
        <family val="2"/>
        <sz val="8"/>
        <rFont val="Arial"/>
      </rPr>
      <t>)</t>
    </r>
  </si>
  <si>
    <r>
      <t>Gage Number (</t>
    </r>
    <r>
      <rPr>
        <charset val="129"/>
        <family val="3"/>
        <sz val="8"/>
        <rFont val="돋움"/>
      </rPr>
      <t>계측기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관리번호</t>
    </r>
    <r>
      <rPr>
        <family val="2"/>
        <sz val="8"/>
        <rFont val="Arial"/>
      </rPr>
      <t>)</t>
    </r>
  </si>
  <si>
    <r>
      <t>Appraiser B (</t>
    </r>
    <r>
      <rPr>
        <charset val="129"/>
        <family val="3"/>
        <sz val="8"/>
        <rFont val="돋움"/>
      </rPr>
      <t>측정자</t>
    </r>
    <r>
      <rPr>
        <family val="2"/>
        <sz val="8"/>
        <rFont val="Arial"/>
      </rPr>
      <t>)</t>
    </r>
  </si>
  <si>
    <t>Part Name</t>
  </si>
  <si>
    <t>Gage Number</t>
  </si>
  <si>
    <t>Appraiser B</t>
  </si>
  <si>
    <t>F/NECK</t>
  </si>
  <si>
    <t>B24095993</t>
  </si>
  <si>
    <t>지영준</t>
  </si>
  <si>
    <r>
      <t>Characteristic (</t>
    </r>
    <r>
      <rPr>
        <charset val="129"/>
        <family val="3"/>
        <sz val="8"/>
        <rFont val="돋움"/>
      </rPr>
      <t>규격</t>
    </r>
    <r>
      <rPr>
        <family val="2"/>
        <sz val="8"/>
        <rFont val="Arial"/>
      </rPr>
      <t>)</t>
    </r>
  </si>
  <si>
    <t>Specification</t>
  </si>
  <si>
    <r>
      <t>Gage Type (</t>
    </r>
    <r>
      <rPr>
        <charset val="129"/>
        <family val="3"/>
        <sz val="8"/>
        <rFont val="돋움"/>
      </rPr>
      <t>계측기</t>
    </r>
    <r>
      <rPr>
        <family val="2"/>
        <sz val="8"/>
        <rFont val="Arial"/>
      </rPr>
      <t xml:space="preserve"> TYPE)</t>
    </r>
  </si>
  <si>
    <r>
      <t>Appraiser C (</t>
    </r>
    <r>
      <rPr>
        <charset val="129"/>
        <family val="3"/>
        <sz val="8"/>
        <rFont val="돋움"/>
      </rPr>
      <t>측정자</t>
    </r>
    <r>
      <rPr>
        <family val="2"/>
        <sz val="8"/>
        <rFont val="Arial"/>
      </rPr>
      <t>)</t>
    </r>
  </si>
  <si>
    <t>Characteristic</t>
  </si>
  <si>
    <t>Gage Type</t>
  </si>
  <si>
    <t>Appraiser C</t>
  </si>
  <si>
    <t>40.7±0.3</t>
  </si>
  <si>
    <t>DIGITAL</t>
  </si>
  <si>
    <t>박상윤</t>
  </si>
  <si>
    <t>Characteristic Classification</t>
  </si>
  <si>
    <r>
      <t>Trials (</t>
    </r>
    <r>
      <rPr>
        <charset val="129"/>
        <family val="3"/>
        <sz val="8"/>
        <rFont val="돋움"/>
      </rPr>
      <t>반복수</t>
    </r>
    <r>
      <rPr>
        <family val="2"/>
        <sz val="8"/>
        <rFont val="Arial"/>
      </rPr>
      <t>)</t>
    </r>
  </si>
  <si>
    <t>Appraisers</t>
  </si>
  <si>
    <t>Date Performed</t>
  </si>
  <si>
    <t>Trials</t>
  </si>
  <si>
    <t>Parts</t>
  </si>
  <si>
    <t>2024.9.27</t>
  </si>
  <si>
    <t>APPRAISER/</t>
  </si>
  <si>
    <t>PART</t>
  </si>
  <si>
    <t>AVERAGE</t>
  </si>
  <si>
    <t>Measurement Unit Analysis</t>
  </si>
  <si>
    <t>% Total Variation (TV)</t>
  </si>
  <si>
    <t>TRIAL #</t>
  </si>
  <si>
    <r>
      <t>(</t>
    </r>
    <r>
      <rPr>
        <charset val="129"/>
        <family val="3"/>
        <sz val="10"/>
        <rFont val="돋움"/>
      </rPr>
      <t>평균</t>
    </r>
    <r>
      <rPr>
        <family val="2"/>
        <sz val="10"/>
        <rFont val="Arial"/>
      </rPr>
      <t>)</t>
    </r>
  </si>
  <si>
    <r>
      <t xml:space="preserve">  Repeatability - Equipment Variation (EV)</t>
    </r>
    <r>
      <rPr>
        <family val="2"/>
        <sz val="8"/>
        <rFont val="Arial"/>
      </rPr>
      <t xml:space="preserve"> </t>
    </r>
    <r>
      <rPr>
        <charset val="129"/>
        <color indexed="23"/>
        <family val="3"/>
        <sz val="8"/>
        <rFont val="돋움"/>
      </rPr>
      <t>반복성</t>
    </r>
    <r>
      <rPr>
        <color indexed="23"/>
        <family val="2"/>
        <sz val="8"/>
        <rFont val="Arial"/>
      </rPr>
      <t>-</t>
    </r>
    <r>
      <rPr>
        <charset val="129"/>
        <color indexed="23"/>
        <family val="3"/>
        <sz val="8"/>
        <rFont val="돋움"/>
      </rPr>
      <t>측정기</t>
    </r>
    <r>
      <rPr>
        <color indexed="23"/>
        <family val="2"/>
        <sz val="8"/>
        <rFont val="Arial"/>
      </rPr>
      <t xml:space="preserve"> </t>
    </r>
    <r>
      <rPr>
        <charset val="129"/>
        <color indexed="23"/>
        <family val="3"/>
        <sz val="8"/>
        <rFont val="돋움"/>
      </rPr>
      <t>변동</t>
    </r>
  </si>
  <si>
    <t xml:space="preserve">  A</t>
  </si>
  <si>
    <t>EV</t>
  </si>
  <si>
    <t>=</t>
  </si>
  <si>
    <r>
      <t>R</t>
    </r>
    <r>
      <rPr>
        <family val="2"/>
        <sz val="10"/>
        <rFont val="Arial"/>
      </rPr>
      <t xml:space="preserve">  x  K</t>
    </r>
    <r>
      <rPr>
        <family val="2"/>
        <vertAlign val="subscript"/>
        <sz val="10"/>
        <rFont val="Arial"/>
      </rPr>
      <t>1</t>
    </r>
  </si>
  <si>
    <t>K1</t>
  </si>
  <si>
    <t>% EV</t>
  </si>
  <si>
    <t>100 (EV/TV)</t>
  </si>
  <si>
    <r>
      <t>Average(</t>
    </r>
    <r>
      <rPr>
        <charset val="129"/>
        <family val="3"/>
        <sz val="8"/>
        <rFont val="돋움"/>
      </rPr>
      <t>평균</t>
    </r>
    <r>
      <rPr>
        <family val="2"/>
        <sz val="8"/>
        <rFont val="Arial"/>
      </rPr>
      <t>)</t>
    </r>
  </si>
  <si>
    <r>
      <t>x</t>
    </r>
    <r>
      <rPr>
        <family val="2"/>
        <vertAlign val="subscript"/>
        <sz val="9"/>
        <rFont val="Arial"/>
      </rPr>
      <t>a</t>
    </r>
    <r>
      <rPr>
        <family val="2"/>
        <sz val="9"/>
        <rFont val="Arial"/>
      </rPr>
      <t>=</t>
    </r>
  </si>
  <si>
    <r>
      <t xml:space="preserve">  Reproducibility - Appraiser Variation (AV)</t>
    </r>
    <r>
      <rPr>
        <b/>
        <family val="2"/>
        <sz val="8"/>
        <rFont val="Arial"/>
      </rPr>
      <t xml:space="preserve"> </t>
    </r>
    <r>
      <rPr>
        <charset val="129"/>
        <color indexed="23"/>
        <family val="3"/>
        <sz val="8"/>
        <rFont val="돋움"/>
      </rPr>
      <t>재현성</t>
    </r>
    <r>
      <rPr>
        <color indexed="23"/>
        <family val="2"/>
        <sz val="8"/>
        <rFont val="Arial"/>
      </rPr>
      <t>-</t>
    </r>
    <r>
      <rPr>
        <charset val="129"/>
        <color indexed="23"/>
        <family val="3"/>
        <sz val="8"/>
        <rFont val="돋움"/>
      </rPr>
      <t>측정자</t>
    </r>
    <r>
      <rPr>
        <color indexed="23"/>
        <family val="2"/>
        <sz val="8"/>
        <rFont val="Arial"/>
      </rPr>
      <t xml:space="preserve"> </t>
    </r>
    <r>
      <rPr>
        <charset val="129"/>
        <color indexed="23"/>
        <family val="3"/>
        <sz val="8"/>
        <rFont val="돋움"/>
      </rPr>
      <t>변동</t>
    </r>
  </si>
  <si>
    <r>
      <t>Range(</t>
    </r>
    <r>
      <rPr>
        <charset val="129"/>
        <family val="3"/>
        <sz val="8"/>
        <rFont val="돋움"/>
      </rPr>
      <t>범위</t>
    </r>
    <r>
      <rPr>
        <family val="2"/>
        <sz val="8"/>
        <rFont val="Arial"/>
      </rPr>
      <t>)</t>
    </r>
  </si>
  <si>
    <r>
      <t>r</t>
    </r>
    <r>
      <rPr>
        <family val="2"/>
        <vertAlign val="subscript"/>
        <sz val="9"/>
        <rFont val="Arial"/>
      </rPr>
      <t>a</t>
    </r>
    <r>
      <rPr>
        <family val="2"/>
        <sz val="9"/>
        <rFont val="Arial"/>
      </rPr>
      <t>=</t>
    </r>
  </si>
  <si>
    <t>AV</t>
  </si>
  <si>
    <r>
      <t>{(</t>
    </r>
    <r>
      <rPr>
        <family val="2"/>
        <sz val="12"/>
        <rFont val="Statistical Symbols"/>
      </rPr>
      <t>x</t>
    </r>
    <r>
      <rPr>
        <family val="2"/>
        <vertAlign val="subscript"/>
        <sz val="10"/>
        <rFont val="Arial"/>
      </rPr>
      <t>DIFF</t>
    </r>
    <r>
      <rPr>
        <family val="2"/>
        <sz val="10"/>
        <rFont val="Arial"/>
      </rPr>
      <t xml:space="preserve"> x K</t>
    </r>
    <r>
      <rPr>
        <family val="2"/>
        <vertAlign val="subscript"/>
        <sz val="10"/>
        <rFont val="Arial"/>
      </rPr>
      <t>2</t>
    </r>
    <r>
      <rPr>
        <family val="2"/>
        <sz val="10"/>
        <rFont val="Arial"/>
      </rPr>
      <t>)</t>
    </r>
    <r>
      <rPr>
        <family val="2"/>
        <vertAlign val="superscript"/>
        <sz val="10"/>
        <rFont val="Arial"/>
      </rPr>
      <t>2</t>
    </r>
    <r>
      <rPr>
        <family val="2"/>
        <sz val="10"/>
        <rFont val="Arial"/>
      </rPr>
      <t xml:space="preserve"> - (EV</t>
    </r>
    <r>
      <rPr>
        <family val="2"/>
        <vertAlign val="superscript"/>
        <sz val="10"/>
        <rFont val="Arial"/>
      </rPr>
      <t>2</t>
    </r>
    <r>
      <rPr>
        <family val="2"/>
        <sz val="10"/>
        <rFont val="Arial"/>
      </rPr>
      <t>/nr)}</t>
    </r>
    <r>
      <rPr>
        <family val="2"/>
        <vertAlign val="superscript"/>
        <sz val="10"/>
        <rFont val="Arial"/>
      </rPr>
      <t>1/2</t>
    </r>
  </si>
  <si>
    <t>% AV</t>
  </si>
  <si>
    <t>100 (AV/TV)</t>
  </si>
  <si>
    <t xml:space="preserve">  B</t>
  </si>
  <si>
    <r>
      <t>x</t>
    </r>
    <r>
      <rPr>
        <family val="2"/>
        <vertAlign val="subscript"/>
        <sz val="9"/>
        <rFont val="Arial"/>
      </rPr>
      <t>b</t>
    </r>
    <r>
      <rPr>
        <family val="2"/>
        <sz val="9"/>
        <rFont val="Arial"/>
      </rPr>
      <t>=</t>
    </r>
  </si>
  <si>
    <t xml:space="preserve">           n = parts        r = trials</t>
  </si>
  <si>
    <r>
      <t>K</t>
    </r>
    <r>
      <rPr>
        <family val="2"/>
        <vertAlign val="subscript"/>
        <sz val="10"/>
        <rFont val="Arial"/>
      </rPr>
      <t>2</t>
    </r>
  </si>
  <si>
    <r>
      <t>r</t>
    </r>
    <r>
      <rPr>
        <family val="2"/>
        <vertAlign val="subscript"/>
        <sz val="9"/>
        <rFont val="Arial"/>
      </rPr>
      <t>b</t>
    </r>
    <r>
      <rPr>
        <family val="2"/>
        <sz val="9"/>
        <rFont val="Arial"/>
      </rPr>
      <t>=</t>
    </r>
  </si>
  <si>
    <r>
      <t xml:space="preserve">  Repeatability &amp; Reproducibility (GRR)</t>
    </r>
    <r>
      <rPr>
        <family val="2"/>
        <sz val="8"/>
        <rFont val="Arial"/>
      </rPr>
      <t xml:space="preserve"> </t>
    </r>
    <r>
      <rPr>
        <charset val="129"/>
        <color indexed="23"/>
        <family val="3"/>
        <sz val="8"/>
        <rFont val="돋움"/>
      </rPr>
      <t>반복성</t>
    </r>
    <r>
      <rPr>
        <color indexed="23"/>
        <family val="2"/>
        <sz val="8"/>
        <rFont val="Arial"/>
      </rPr>
      <t xml:space="preserve"> &amp; </t>
    </r>
    <r>
      <rPr>
        <charset val="129"/>
        <color indexed="23"/>
        <family val="3"/>
        <sz val="8"/>
        <rFont val="돋움"/>
      </rPr>
      <t>재현성</t>
    </r>
  </si>
  <si>
    <t>% GRR</t>
  </si>
  <si>
    <t>100 (GRR/TV)</t>
  </si>
  <si>
    <t xml:space="preserve">  C</t>
  </si>
  <si>
    <t>GRR</t>
  </si>
  <si>
    <r>
      <t>{(EV</t>
    </r>
    <r>
      <rPr>
        <family val="2"/>
        <vertAlign val="superscript"/>
        <sz val="10"/>
        <rFont val="Arial"/>
      </rPr>
      <t>2</t>
    </r>
    <r>
      <rPr>
        <family val="2"/>
        <sz val="10"/>
        <rFont val="Arial"/>
      </rPr>
      <t xml:space="preserve"> + AV</t>
    </r>
    <r>
      <rPr>
        <family val="2"/>
        <vertAlign val="superscript"/>
        <sz val="10"/>
        <rFont val="Arial"/>
      </rPr>
      <t>2</t>
    </r>
    <r>
      <rPr>
        <family val="2"/>
        <sz val="10"/>
        <rFont val="Arial"/>
      </rPr>
      <t>)}</t>
    </r>
    <r>
      <rPr>
        <family val="2"/>
        <vertAlign val="superscript"/>
        <sz val="10"/>
        <rFont val="Arial"/>
      </rPr>
      <t>1/2</t>
    </r>
  </si>
  <si>
    <r>
      <t>K</t>
    </r>
    <r>
      <rPr>
        <b/>
        <family val="2"/>
        <vertAlign val="subscript"/>
        <sz val="10"/>
        <rFont val="Arial"/>
      </rPr>
      <t>3</t>
    </r>
  </si>
  <si>
    <r>
      <t>x</t>
    </r>
    <r>
      <rPr>
        <family val="2"/>
        <vertAlign val="subscript"/>
        <sz val="9"/>
        <rFont val="Arial"/>
      </rPr>
      <t>c</t>
    </r>
    <r>
      <rPr>
        <family val="2"/>
        <sz val="9"/>
        <rFont val="Arial"/>
      </rPr>
      <t>=</t>
    </r>
  </si>
  <si>
    <r>
      <t xml:space="preserve">  Part Variation (PV)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부품변동</t>
    </r>
  </si>
  <si>
    <r>
      <t>r</t>
    </r>
    <r>
      <rPr>
        <family val="2"/>
        <vertAlign val="subscript"/>
        <sz val="9"/>
        <rFont val="Arial"/>
      </rPr>
      <t>c</t>
    </r>
    <r>
      <rPr>
        <family val="2"/>
        <sz val="9"/>
        <rFont val="Arial"/>
      </rPr>
      <t>=</t>
    </r>
  </si>
  <si>
    <t>PV</t>
  </si>
  <si>
    <r>
      <t>R</t>
    </r>
    <r>
      <rPr>
        <family val="2"/>
        <vertAlign val="subscript"/>
        <sz val="10"/>
        <rFont val="Arial"/>
      </rPr>
      <t>P</t>
    </r>
    <r>
      <rPr>
        <family val="2"/>
        <sz val="10"/>
        <rFont val="Arial"/>
      </rPr>
      <t xml:space="preserve"> x K</t>
    </r>
    <r>
      <rPr>
        <family val="2"/>
        <vertAlign val="subscript"/>
        <sz val="10"/>
        <rFont val="Arial"/>
      </rPr>
      <t>3</t>
    </r>
  </si>
  <si>
    <t>% PV</t>
  </si>
  <si>
    <t>100 (PV/TV)</t>
  </si>
  <si>
    <r>
      <t>X</t>
    </r>
    <r>
      <rPr>
        <family val="2"/>
        <sz val="9"/>
        <rFont val="Arial"/>
      </rPr>
      <t>=</t>
    </r>
  </si>
  <si>
    <t>시료변동</t>
  </si>
  <si>
    <t xml:space="preserve">   Average</t>
  </si>
  <si>
    <r>
      <t>R</t>
    </r>
    <r>
      <rPr>
        <family val="2"/>
        <vertAlign val="subscript"/>
        <sz val="10"/>
        <rFont val="Arial"/>
      </rPr>
      <t>p</t>
    </r>
    <r>
      <rPr>
        <family val="2"/>
        <sz val="10"/>
        <rFont val="Arial"/>
      </rPr>
      <t>=</t>
    </r>
  </si>
  <si>
    <r>
      <t>(</t>
    </r>
    <r>
      <rPr>
        <family val="2"/>
        <sz val="12"/>
        <rFont val="Statistical Symbols"/>
      </rPr>
      <t>r</t>
    </r>
    <r>
      <rPr>
        <family val="2"/>
        <vertAlign val="subscript"/>
        <sz val="10"/>
        <rFont val="Arial"/>
      </rPr>
      <t>a</t>
    </r>
    <r>
      <rPr>
        <family val="2"/>
        <sz val="10"/>
        <rFont val="Arial"/>
      </rPr>
      <t xml:space="preserve"> + </t>
    </r>
    <r>
      <rPr>
        <family val="2"/>
        <sz val="12"/>
        <rFont val="Statistical Symbols"/>
      </rPr>
      <t>r</t>
    </r>
    <r>
      <rPr>
        <family val="2"/>
        <vertAlign val="subscript"/>
        <sz val="10"/>
        <rFont val="Arial"/>
      </rPr>
      <t>b</t>
    </r>
    <r>
      <rPr>
        <family val="2"/>
        <sz val="10"/>
        <rFont val="Arial"/>
      </rPr>
      <t xml:space="preserve"> + </t>
    </r>
    <r>
      <rPr>
        <family val="2"/>
        <sz val="12"/>
        <rFont val="Statistical Symbols"/>
      </rPr>
      <t>r</t>
    </r>
    <r>
      <rPr>
        <family val="2"/>
        <vertAlign val="subscript"/>
        <sz val="10"/>
        <rFont val="Arial"/>
      </rPr>
      <t>c</t>
    </r>
    <r>
      <rPr>
        <family val="2"/>
        <sz val="10"/>
        <rFont val="Arial"/>
      </rPr>
      <t>) / (# OF APPRAISERS) =</t>
    </r>
  </si>
  <si>
    <r>
      <t>R</t>
    </r>
    <r>
      <rPr>
        <family val="2"/>
        <sz val="10"/>
        <rFont val="Arial"/>
      </rPr>
      <t>=</t>
    </r>
  </si>
  <si>
    <r>
      <t xml:space="preserve">  Total Variation (TV) </t>
    </r>
    <r>
      <rPr>
        <charset val="129"/>
        <family val="3"/>
        <sz val="8"/>
        <rFont val="돋움"/>
      </rPr>
      <t>총변동</t>
    </r>
  </si>
  <si>
    <r>
      <t>x</t>
    </r>
    <r>
      <rPr>
        <family val="2"/>
        <vertAlign val="subscript"/>
        <sz val="10"/>
        <rFont val="Arial"/>
      </rPr>
      <t>DIFF</t>
    </r>
    <r>
      <rPr>
        <family val="2"/>
        <sz val="10"/>
        <rFont val="Arial"/>
      </rPr>
      <t xml:space="preserve"> = (Max </t>
    </r>
    <r>
      <rPr>
        <family val="2"/>
        <sz val="12"/>
        <rFont val="Statistical Symbols"/>
      </rPr>
      <t>x</t>
    </r>
    <r>
      <rPr>
        <family val="2"/>
        <sz val="10"/>
        <rFont val="Arial"/>
      </rPr>
      <t xml:space="preserve"> - Min </t>
    </r>
    <r>
      <rPr>
        <family val="2"/>
        <sz val="12"/>
        <rFont val="Statistical Symbols"/>
      </rPr>
      <t>x</t>
    </r>
    <r>
      <rPr>
        <family val="2"/>
        <sz val="10"/>
        <rFont val="Arial"/>
      </rPr>
      <t>) =</t>
    </r>
  </si>
  <si>
    <r>
      <t>x</t>
    </r>
    <r>
      <rPr>
        <family val="2"/>
        <vertAlign val="subscript"/>
        <sz val="10"/>
        <rFont val="Arial"/>
      </rPr>
      <t>DIFF</t>
    </r>
    <r>
      <rPr>
        <family val="2"/>
        <sz val="10"/>
        <rFont val="Arial"/>
      </rPr>
      <t>=</t>
    </r>
  </si>
  <si>
    <t>TV</t>
  </si>
  <si>
    <r>
      <t>{(GRR</t>
    </r>
    <r>
      <rPr>
        <family val="2"/>
        <vertAlign val="superscript"/>
        <sz val="10"/>
        <rFont val="Arial"/>
      </rPr>
      <t>2</t>
    </r>
    <r>
      <rPr>
        <family val="2"/>
        <sz val="10"/>
        <rFont val="Arial"/>
      </rPr>
      <t xml:space="preserve"> + PV</t>
    </r>
    <r>
      <rPr>
        <family val="2"/>
        <vertAlign val="superscript"/>
        <sz val="10"/>
        <rFont val="Arial"/>
      </rPr>
      <t>2</t>
    </r>
    <r>
      <rPr>
        <family val="2"/>
        <sz val="10"/>
        <rFont val="Arial"/>
      </rPr>
      <t>)}</t>
    </r>
    <r>
      <rPr>
        <family val="2"/>
        <vertAlign val="superscript"/>
        <sz val="10"/>
        <rFont val="Arial"/>
      </rPr>
      <t>1/2</t>
    </r>
  </si>
  <si>
    <t>ndc</t>
  </si>
  <si>
    <t>1.41(PV/GRR)</t>
  </si>
  <si>
    <r>
      <t>* UCL</t>
    </r>
    <r>
      <rPr>
        <family val="2"/>
        <vertAlign val="subscript"/>
        <sz val="10"/>
        <rFont val="Arial"/>
      </rPr>
      <t>R</t>
    </r>
    <r>
      <rPr>
        <family val="2"/>
        <sz val="10"/>
        <rFont val="Arial"/>
      </rPr>
      <t xml:space="preserve"> =</t>
    </r>
    <r>
      <rPr>
        <family val="2"/>
        <sz val="12"/>
        <rFont val="Arial"/>
      </rPr>
      <t xml:space="preserve"> </t>
    </r>
    <r>
      <rPr>
        <family val="2"/>
        <sz val="12"/>
        <rFont val="Statistical Symbols"/>
      </rPr>
      <t>R</t>
    </r>
    <r>
      <rPr>
        <family val="2"/>
        <sz val="10"/>
        <rFont val="Arial"/>
      </rPr>
      <t xml:space="preserve"> x D</t>
    </r>
    <r>
      <rPr>
        <family val="2"/>
        <vertAlign val="subscript"/>
        <sz val="10"/>
        <rFont val="Arial"/>
      </rPr>
      <t>4</t>
    </r>
    <r>
      <rPr>
        <family val="2"/>
        <sz val="10"/>
        <rFont val="Arial"/>
      </rPr>
      <t xml:space="preserve"> =</t>
    </r>
  </si>
  <si>
    <r>
      <t>UCL</t>
    </r>
    <r>
      <rPr>
        <family val="2"/>
        <vertAlign val="subscript"/>
        <sz val="10"/>
        <rFont val="Arial"/>
      </rPr>
      <t>R</t>
    </r>
    <r>
      <rPr>
        <family val="2"/>
        <sz val="10"/>
        <rFont val="Arial"/>
      </rPr>
      <t>=</t>
    </r>
  </si>
  <si>
    <r>
      <rPr>
        <charset val="129"/>
        <color indexed="23"/>
        <family val="3"/>
        <sz val="8"/>
        <rFont val="돋움"/>
      </rPr>
      <t>변별</t>
    </r>
    <r>
      <rPr>
        <color indexed="23"/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/>
    </r>
  </si>
  <si>
    <r>
      <rPr>
        <charset val="129"/>
        <family val="3"/>
        <sz val="8"/>
        <rFont val="돋움"/>
      </rPr>
      <t>※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계측기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선정기준</t>
    </r>
    <r>
      <rPr>
        <family val="2"/>
        <sz val="8"/>
        <rFont val="Arial"/>
      </rPr>
      <t xml:space="preserve"> : </t>
    </r>
    <r>
      <rPr>
        <charset val="129"/>
        <family val="3"/>
        <sz val="8"/>
        <rFont val="돋움"/>
      </rPr>
      <t>규격</t>
    </r>
    <r>
      <rPr>
        <family val="2"/>
        <sz val="8"/>
        <rFont val="Arial"/>
      </rPr>
      <t>(</t>
    </r>
    <r>
      <rPr>
        <charset val="129"/>
        <family val="3"/>
        <sz val="8"/>
        <rFont val="돋움"/>
      </rPr>
      <t>공차</t>
    </r>
    <r>
      <rPr>
        <family val="2"/>
        <sz val="8"/>
        <rFont val="Arial"/>
      </rPr>
      <t xml:space="preserve">) </t>
    </r>
    <r>
      <rPr>
        <charset val="129"/>
        <family val="3"/>
        <sz val="8"/>
        <rFont val="돋움"/>
      </rPr>
      <t>대비</t>
    </r>
    <r>
      <rPr>
        <family val="2"/>
        <sz val="8"/>
        <rFont val="Arial"/>
      </rPr>
      <t xml:space="preserve"> 1</t>
    </r>
    <r>
      <rPr>
        <charset val="129"/>
        <family val="3"/>
        <sz val="8"/>
        <rFont val="돋움"/>
      </rPr>
      <t>자리수</t>
    </r>
    <r>
      <rPr>
        <family val="2"/>
        <sz val="8"/>
        <rFont val="Arial"/>
      </rPr>
      <t>(0.1</t>
    </r>
    <r>
      <rPr>
        <charset val="129"/>
        <family val="3"/>
        <sz val="8"/>
        <rFont val="돋움"/>
      </rPr>
      <t>→</t>
    </r>
    <r>
      <rPr>
        <family val="2"/>
        <sz val="8"/>
        <rFont val="Arial"/>
      </rPr>
      <t xml:space="preserve">0.01) </t>
    </r>
    <r>
      <rPr>
        <charset val="129"/>
        <family val="3"/>
        <sz val="8"/>
        <rFont val="돋움"/>
      </rPr>
      <t>낮게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선정함</t>
    </r>
    <r>
      <rPr>
        <family val="2"/>
        <sz val="8"/>
        <rFont val="Arial"/>
      </rPr>
      <t xml:space="preserve">. &amp; </t>
    </r>
    <r>
      <rPr>
        <charset val="129"/>
        <family val="3"/>
        <sz val="8"/>
        <rFont val="돋움"/>
      </rPr>
      <t>샘플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선정기준</t>
    </r>
    <r>
      <rPr>
        <family val="2"/>
        <sz val="8"/>
        <rFont val="Arial"/>
      </rPr>
      <t xml:space="preserve"> : </t>
    </r>
    <r>
      <rPr>
        <charset val="129"/>
        <family val="3"/>
        <sz val="8"/>
        <rFont val="돋움"/>
      </rPr>
      <t>가장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작은값에서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높은값까지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샘플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사용</t>
    </r>
    <r>
      <rPr>
        <family val="2"/>
        <sz val="8"/>
        <rFont val="Arial"/>
      </rPr>
      <t>.</t>
    </r>
  </si>
  <si>
    <r>
      <rPr>
        <charset val="129"/>
        <color indexed="23"/>
        <family val="3"/>
        <sz val="8"/>
        <rFont val="돋움"/>
      </rPr>
      <t>범주의</t>
    </r>
    <r>
      <rPr>
        <color indexed="23"/>
        <family val="2"/>
        <sz val="8"/>
        <rFont val="Arial"/>
      </rPr>
      <t xml:space="preserve"> </t>
    </r>
    <r>
      <rPr>
        <charset val="129"/>
        <color indexed="23"/>
        <family val="3"/>
        <sz val="8"/>
        <rFont val="돋움"/>
      </rPr>
      <t>수</t>
    </r>
  </si>
  <si>
    <r>
      <t>* D</t>
    </r>
    <r>
      <rPr>
        <family val="2"/>
        <vertAlign val="subscript"/>
        <sz val="8"/>
        <rFont val="Arial"/>
      </rPr>
      <t>4</t>
    </r>
    <r>
      <rPr>
        <family val="2"/>
        <sz val="8"/>
        <rFont val="Arial"/>
      </rPr>
      <t xml:space="preserve"> =3.27 for 2 trials and 2.58 for 3 trials.  </t>
    </r>
    <r>
      <rPr>
        <family val="2"/>
        <sz val="8"/>
        <rFont val="Arial"/>
      </rPr>
      <t>UCL</t>
    </r>
    <r>
      <rPr>
        <family val="2"/>
        <vertAlign val="subscript"/>
        <sz val="8"/>
        <rFont val="Arial"/>
      </rPr>
      <t>R</t>
    </r>
    <r>
      <rPr>
        <family val="2"/>
        <sz val="8"/>
        <rFont val="Arial"/>
      </rPr>
      <t xml:space="preserve"> represents the limit of individual R's.  Circle those that are</t>
    </r>
  </si>
  <si>
    <t>beyond this limit.  Identify the cause and correct.  Repeat these readings using the same appraiser and unit as originally used or</t>
  </si>
  <si>
    <r>
      <t xml:space="preserve">discard values and re-average and recompute </t>
    </r>
    <r>
      <rPr>
        <family val="2"/>
        <sz val="10"/>
        <rFont val="Statistical Symbols"/>
      </rPr>
      <t>R</t>
    </r>
    <r>
      <rPr>
        <family val="2"/>
        <sz val="8"/>
        <rFont val="Arial"/>
      </rPr>
      <t xml:space="preserve"> and the limiting value from the remaining observations.</t>
    </r>
  </si>
  <si>
    <r>
      <t xml:space="preserve">   For information on the theory and constants used in the form see </t>
    </r>
    <r>
      <rPr>
        <i/>
        <family val="2"/>
        <sz val="10"/>
        <rFont val="Arial"/>
      </rPr>
      <t>MSA Reference Manual</t>
    </r>
    <r>
      <rPr>
        <family val="2"/>
        <sz val="10"/>
        <rFont val="Arial"/>
      </rPr>
      <t>, Fourth edition.</t>
    </r>
  </si>
  <si>
    <r>
      <t xml:space="preserve">* </t>
    </r>
    <r>
      <rPr>
        <charset val="129"/>
        <family val="3"/>
        <sz val="8"/>
        <rFont val="돋움"/>
      </rPr>
      <t>반복</t>
    </r>
    <r>
      <rPr>
        <family val="2"/>
        <sz val="8"/>
        <rFont val="Arial"/>
      </rPr>
      <t xml:space="preserve"> 2</t>
    </r>
    <r>
      <rPr>
        <charset val="129"/>
        <family val="3"/>
        <sz val="8"/>
        <rFont val="돋움"/>
      </rPr>
      <t>일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경우</t>
    </r>
    <r>
      <rPr>
        <family val="2"/>
        <sz val="8"/>
        <rFont val="Arial"/>
      </rPr>
      <t xml:space="preserve"> D</t>
    </r>
    <r>
      <rPr>
        <family val="2"/>
        <vertAlign val="subscript"/>
        <sz val="8"/>
        <rFont val="Arial"/>
      </rPr>
      <t>4</t>
    </r>
    <r>
      <rPr>
        <family val="2"/>
        <sz val="8"/>
        <rFont val="Arial"/>
      </rPr>
      <t xml:space="preserve"> =3.27, </t>
    </r>
    <r>
      <rPr>
        <charset val="129"/>
        <family val="3"/>
        <sz val="8"/>
        <rFont val="돋움"/>
      </rPr>
      <t>반복</t>
    </r>
    <r>
      <rPr>
        <family val="2"/>
        <sz val="8"/>
        <rFont val="Arial"/>
      </rPr>
      <t>3</t>
    </r>
    <r>
      <rPr>
        <charset val="129"/>
        <family val="3"/>
        <sz val="8"/>
        <rFont val="돋움"/>
      </rPr>
      <t>일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경우</t>
    </r>
    <r>
      <rPr>
        <family val="2"/>
        <sz val="8"/>
        <rFont val="Arial"/>
      </rPr>
      <t xml:space="preserve">  UCL</t>
    </r>
    <r>
      <rPr>
        <family val="2"/>
        <vertAlign val="subscript"/>
        <sz val="8"/>
        <rFont val="Arial"/>
      </rPr>
      <t>R</t>
    </r>
    <r>
      <rPr>
        <charset val="129"/>
        <family val="3"/>
        <sz val="8"/>
        <rFont val="돋움"/>
      </rPr>
      <t>은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개개</t>
    </r>
    <r>
      <rPr>
        <family val="2"/>
        <sz val="8"/>
        <rFont val="Arial"/>
      </rPr>
      <t xml:space="preserve"> R's</t>
    </r>
    <r>
      <rPr>
        <charset val="129"/>
        <family val="3"/>
        <sz val="8"/>
        <rFont val="돋움"/>
      </rPr>
      <t>의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관리한계를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나타낸다</t>
    </r>
    <r>
      <rPr>
        <family val="2"/>
        <sz val="8"/>
        <rFont val="Arial"/>
      </rPr>
      <t xml:space="preserve">. </t>
    </r>
    <r>
      <rPr>
        <charset val="129"/>
        <family val="3"/>
        <sz val="8"/>
        <rFont val="돋움"/>
      </rPr>
      <t>이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한계를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벗어나면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원으로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표시하고</t>
    </r>
  </si>
  <si>
    <t xml:space="preserve"> [ % R&amp;R(GRR) 평가기준 ]</t>
  </si>
  <si>
    <t xml:space="preserve"> [ ndc 평가기준 ]</t>
  </si>
  <si>
    <r>
      <rPr>
        <b/>
        <charset val="129"/>
        <family val="3"/>
        <sz val="10"/>
        <rFont val="돋움"/>
      </rPr>
      <t>종</t>
    </r>
    <r>
      <rPr>
        <b/>
        <family val="2"/>
        <sz val="10"/>
        <rFont val="Arial"/>
      </rPr>
      <t xml:space="preserve"> </t>
    </r>
    <r>
      <rPr>
        <b/>
        <charset val="129"/>
        <family val="3"/>
        <sz val="10"/>
        <rFont val="돋움"/>
      </rPr>
      <t>합</t>
    </r>
    <r>
      <rPr>
        <b/>
        <family val="2"/>
        <sz val="10"/>
        <rFont val="Arial"/>
      </rPr>
      <t xml:space="preserve"> </t>
    </r>
    <r>
      <rPr>
        <b/>
        <charset val="129"/>
        <family val="3"/>
        <sz val="10"/>
        <rFont val="돋움"/>
      </rPr>
      <t>판</t>
    </r>
    <r>
      <rPr>
        <b/>
        <family val="2"/>
        <sz val="10"/>
        <rFont val="Arial"/>
      </rPr>
      <t xml:space="preserve"> </t>
    </r>
    <r>
      <rPr>
        <b/>
        <charset val="129"/>
        <family val="3"/>
        <sz val="10"/>
        <rFont val="돋움"/>
      </rPr>
      <t>정</t>
    </r>
  </si>
  <si>
    <r>
      <t xml:space="preserve">  </t>
    </r>
    <r>
      <rPr>
        <charset val="129"/>
        <family val="3"/>
        <sz val="8"/>
        <rFont val="돋움"/>
      </rPr>
      <t>윈인과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수정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조치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사항을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확인한다</t>
    </r>
    <r>
      <rPr>
        <family val="2"/>
        <sz val="8"/>
        <rFont val="Arial"/>
      </rPr>
      <t xml:space="preserve">.  </t>
    </r>
    <r>
      <rPr>
        <charset val="129"/>
        <family val="3"/>
        <sz val="8"/>
        <rFont val="돋움"/>
      </rPr>
      <t>처음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사용되었던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부품과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측정자를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그대로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하여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이들</t>
    </r>
    <r>
      <rPr>
        <family val="2"/>
        <sz val="8"/>
        <rFont val="Arial"/>
      </rPr>
      <t xml:space="preserve"> (</t>
    </r>
    <r>
      <rPr>
        <charset val="129"/>
        <family val="3"/>
        <sz val="8"/>
        <rFont val="돋움"/>
      </rPr>
      <t>한계를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없어난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데이터</t>
    </r>
    <r>
      <rPr>
        <family val="2"/>
        <sz val="8"/>
        <rFont val="Arial"/>
      </rPr>
      <t>)</t>
    </r>
    <r>
      <rPr>
        <charset val="129"/>
        <family val="3"/>
        <sz val="8"/>
        <rFont val="돋움"/>
      </rPr>
      <t>에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대해</t>
    </r>
  </si>
  <si>
    <t xml:space="preserve">       % R&amp;R &lt; 10</t>
  </si>
  <si>
    <t>: 양호 (OK)</t>
  </si>
  <si>
    <r>
      <t xml:space="preserve">ndc </t>
    </r>
    <r>
      <rPr>
        <charset val="129"/>
        <family val="3"/>
        <sz val="8"/>
        <rFont val="돋움"/>
      </rPr>
      <t>≥</t>
    </r>
    <r>
      <rPr>
        <family val="2"/>
        <sz val="8"/>
        <rFont val="Arial"/>
      </rPr>
      <t xml:space="preserve"> 5 </t>
    </r>
  </si>
  <si>
    <r>
      <t xml:space="preserve">  </t>
    </r>
    <r>
      <rPr>
        <charset val="129"/>
        <family val="3"/>
        <sz val="8"/>
        <rFont val="돋움"/>
      </rPr>
      <t>다시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측정하거나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벗어난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값을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버리고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남은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값들로써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평균과</t>
    </r>
    <r>
      <rPr>
        <family val="2"/>
        <sz val="8"/>
        <rFont val="Arial"/>
      </rPr>
      <t xml:space="preserve"> R</t>
    </r>
    <r>
      <rPr>
        <charset val="129"/>
        <family val="3"/>
        <sz val="8"/>
        <rFont val="돋움"/>
      </rPr>
      <t>그리고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한계값을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다시</t>
    </r>
    <r>
      <rPr>
        <family val="2"/>
        <sz val="8"/>
        <rFont val="Arial"/>
      </rPr>
      <t xml:space="preserve"> </t>
    </r>
    <r>
      <rPr>
        <charset val="129"/>
        <family val="3"/>
        <sz val="8"/>
        <rFont val="돋움"/>
      </rPr>
      <t>계산한다</t>
    </r>
    <r>
      <rPr>
        <family val="2"/>
        <sz val="8"/>
        <rFont val="Arial"/>
      </rPr>
      <t>.</t>
    </r>
  </si>
  <si>
    <r>
      <t xml:space="preserve"> 10 </t>
    </r>
    <r>
      <rPr>
        <charset val="129"/>
        <family val="3"/>
        <sz val="8"/>
        <rFont val="돋움"/>
      </rPr>
      <t>≤</t>
    </r>
    <r>
      <rPr>
        <family val="2"/>
        <sz val="8"/>
        <rFont val="Arial"/>
      </rPr>
      <t xml:space="preserve"> % R&amp;R &lt; 30</t>
    </r>
  </si>
  <si>
    <t>: 계측기 or 작업자 변경요</t>
  </si>
  <si>
    <t xml:space="preserve">       ndc &lt; 5</t>
  </si>
  <si>
    <t>: 불양호</t>
  </si>
  <si>
    <r>
      <t xml:space="preserve">       % R&amp;R </t>
    </r>
    <r>
      <rPr>
        <charset val="129"/>
        <family val="3"/>
        <sz val="8"/>
        <rFont val="돋움"/>
      </rPr>
      <t>≥</t>
    </r>
    <r>
      <rPr>
        <family val="2"/>
        <sz val="8"/>
        <rFont val="Arial"/>
      </rPr>
      <t xml:space="preserve"> 30 </t>
    </r>
  </si>
  <si>
    <t>: 허용불가</t>
  </si>
  <si>
    <r>
      <rPr>
        <charset val="129"/>
        <family val="3"/>
        <sz val="10"/>
        <rFont val="돋움"/>
      </rPr>
      <t>작</t>
    </r>
    <r>
      <rPr>
        <family val="2"/>
        <sz val="10"/>
        <rFont val="Arial"/>
      </rPr>
      <t xml:space="preserve"> </t>
    </r>
    <r>
      <rPr>
        <charset val="129"/>
        <family val="3"/>
        <sz val="10"/>
        <rFont val="돋움"/>
      </rPr>
      <t>성</t>
    </r>
  </si>
  <si>
    <r>
      <rPr>
        <charset val="129"/>
        <family val="3"/>
        <sz val="10"/>
        <rFont val="돋움"/>
      </rPr>
      <t>승</t>
    </r>
    <r>
      <rPr>
        <family val="2"/>
        <sz val="10"/>
        <rFont val="Arial"/>
      </rPr>
      <t xml:space="preserve"> </t>
    </r>
    <r>
      <rPr>
        <charset val="129"/>
        <family val="3"/>
        <sz val="10"/>
        <rFont val="돋움"/>
      </rPr>
      <t>인</t>
    </r>
  </si>
  <si>
    <t>Notes:</t>
  </si>
  <si>
    <t xml:space="preserve"> → 개선활동 전개요</t>
  </si>
  <si>
    <t>【 평가결과 】</t>
  </si>
  <si>
    <t xml:space="preserve"> [ % PV 평가기준 ]</t>
  </si>
  <si>
    <t xml:space="preserve"> 1. % R&amp;R :</t>
  </si>
  <si>
    <r>
      <t xml:space="preserve">       %PV </t>
    </r>
    <r>
      <rPr>
        <charset val="129"/>
        <family val="3"/>
        <sz val="8"/>
        <rFont val="돋움"/>
      </rPr>
      <t>≥</t>
    </r>
    <r>
      <rPr>
        <family val="2"/>
        <sz val="8"/>
        <rFont val="Arial"/>
      </rPr>
      <t xml:space="preserve"> 90 </t>
    </r>
  </si>
  <si>
    <t xml:space="preserve"> 2. P V      :</t>
  </si>
  <si>
    <t xml:space="preserve">       %PV &lt; 90</t>
  </si>
  <si>
    <t xml:space="preserve"> 3. ndc      :</t>
  </si>
  <si>
    <t>{{companyName}}</t>
  </si>
  <si>
    <t>1/2 PAGE</t>
  </si>
  <si>
    <t>2/2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</si>
</sst>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mmm&quot;-&quot;dd&quot;-&quot;yy"/>
    <numFmt numFmtId="165" formatCode="0.00_ "/>
    <numFmt numFmtId="166" formatCode="0.0000"/>
    <numFmt numFmtId="167" formatCode="0."/>
    <numFmt numFmtId="168" formatCode="0.0000000_ "/>
    <numFmt numFmtId="169" formatCode="0.000_ "/>
    <numFmt numFmtId="170" formatCode="0.000"/>
    <numFmt numFmtId="171" formatCode="0.00000000_ "/>
  </numFmts>
  <fonts count="28" x14ac:knownFonts="1">
    <font>
      <color theme="1"/>
      <family val="2"/>
      <scheme val="minor"/>
      <sz val="11"/>
      <name val="Calibri"/>
    </font>
    <font>
      <b/>
      <family val="2"/>
      <sz val="14"/>
      <name val="Arial"/>
    </font>
    <font>
      <family val="2"/>
      <sz val="14"/>
      <name val="Arial"/>
    </font>
    <font>
      <b/>
      <color indexed="55"/>
      <family val="2"/>
      <sz val="12"/>
      <name val="Arial"/>
    </font>
    <font>
      <color indexed="55"/>
      <family val="2"/>
      <sz val="12"/>
      <name val="Arial"/>
    </font>
    <font>
      <family val="2"/>
      <sz val="8"/>
      <name val="Arial"/>
    </font>
    <font>
      <color indexed="12"/>
      <family val="2"/>
      <sz val="10"/>
      <name val="Arial"/>
    </font>
    <font>
      <family val="2"/>
      <sz val="10"/>
      <name val="Arial"/>
    </font>
    <font>
      <charset val="129"/>
      <color indexed="12"/>
      <family val="3"/>
      <sz val="10"/>
      <name val="돋움"/>
    </font>
    <font>
      <charset val="129"/>
      <color rgb="FF0000FF"/>
      <family val="2"/>
      <sz val="10"/>
      <name val="HY헤드라인M"/>
    </font>
    <font>
      <color indexed="8"/>
      <family val="2"/>
      <sz val="10"/>
      <name val="Arial"/>
    </font>
    <font>
      <color indexed="10"/>
      <family val="2"/>
      <sz val="10"/>
      <name val="Arial"/>
    </font>
    <font>
      <b/>
      <family val="2"/>
      <sz val="10"/>
      <name val="Arial"/>
    </font>
    <font>
      <family val="2"/>
      <sz val="9"/>
      <name val="Arial"/>
    </font>
    <font>
      <color indexed="12"/>
      <family val="1"/>
      <sz val="10"/>
      <name val="Dutch801 Rm BT"/>
    </font>
    <font>
      <family val="2"/>
      <sz val="12"/>
      <name val="Statistical Symbols"/>
    </font>
    <font>
      <family val="2"/>
      <sz val="9"/>
      <name val="Statistical Symbols"/>
    </font>
    <font>
      <b/>
      <family val="2"/>
      <sz val="6"/>
      <name val="Small Fonts"/>
    </font>
    <font>
      <i/>
      <family val="2"/>
      <sz val="10"/>
      <name val="Arial"/>
    </font>
    <font>
      <charset val="129"/>
      <color indexed="23"/>
      <family val="3"/>
      <sz val="8"/>
      <name val="돋움"/>
    </font>
    <font>
      <family val="2"/>
      <sz val="10"/>
      <name val="Statistical Symbols"/>
    </font>
    <font>
      <color indexed="23"/>
      <family val="2"/>
      <sz val="8"/>
      <name val="Arial"/>
    </font>
    <font>
      <b/>
      <charset val="129"/>
      <family val="3"/>
      <sz val="8"/>
      <name val="돋움"/>
    </font>
    <font>
      <charset val="129"/>
      <family val="3"/>
      <sz val="8"/>
      <name val="돋움"/>
    </font>
    <font>
      <b/>
      <family val="2"/>
      <sz val="8"/>
      <name val="Arial"/>
    </font>
    <font>
      <b/>
      <charset val="129"/>
      <color indexed="12"/>
      <family val="3"/>
      <sz val="10"/>
      <name val="돋움"/>
    </font>
    <font>
      <charset val="129"/>
      <family val="3"/>
      <sz val="10"/>
      <name val="돋움"/>
    </font>
    <font>
      <b/>
      <color indexed="12"/>
      <family val="2"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2" borderId="0" xfId="0" applyFont="1" applyFill="1" applyAlignment="1">
      <alignment horizontal="centerContinuous"/>
    </xf>
    <xf numFmtId="0" fontId="4" fillId="2" borderId="0" xfId="0" applyFont="1" applyFill="1" applyAlignment="1">
      <alignment horizontal="centerContinuous"/>
    </xf>
    <xf numFmtId="0" fontId="4" fillId="2" borderId="0" xfId="0" applyFont="1" applyFill="1"/>
    <xf numFmtId="0" fontId="5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4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9" fillId="2" borderId="4" xfId="0" applyFont="1" applyFill="1" applyBorder="1" applyAlignment="1">
      <alignment vertical="center"/>
    </xf>
    <xf numFmtId="0" fontId="6" fillId="0" borderId="4" xfId="0" applyFont="1" applyBorder="1" applyAlignment="1" applyProtection="1">
      <alignment vertical="center"/>
      <protection locked="0"/>
    </xf>
    <xf numFmtId="0" fontId="5" fillId="2" borderId="2" xfId="0" applyFont="1" applyFill="1" applyBorder="1" applyAlignment="1">
      <alignment horizontal="centerContinuous" vertical="center"/>
    </xf>
    <xf numFmtId="0" fontId="5" fillId="2" borderId="3" xfId="0" applyFont="1" applyFill="1" applyBorder="1" applyAlignment="1">
      <alignment horizontal="centerContinuous" vertical="center"/>
    </xf>
    <xf numFmtId="0" fontId="7" fillId="2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 applyProtection="1">
      <alignment vertical="center"/>
      <protection locked="0"/>
    </xf>
    <xf numFmtId="0" fontId="10" fillId="2" borderId="4" xfId="0" applyFont="1" applyFill="1" applyBorder="1" applyAlignment="1">
      <alignment horizontal="centerContinuous" vertical="center"/>
    </xf>
    <xf numFmtId="0" fontId="10" fillId="2" borderId="6" xfId="0" applyFont="1" applyFill="1" applyBorder="1" applyAlignment="1">
      <alignment horizontal="centerContinuous" vertical="center"/>
    </xf>
    <xf numFmtId="0" fontId="7" fillId="2" borderId="6" xfId="0" applyFont="1" applyFill="1" applyBorder="1" applyAlignment="1">
      <alignment horizontal="centerContinuous" vertical="center"/>
    </xf>
    <xf numFmtId="164" fontId="6" fillId="2" borderId="4" xfId="0" applyNumberFormat="1" applyFont="1" applyFill="1" applyBorder="1" applyAlignment="1" applyProtection="1">
      <alignment horizontal="center" vertical="center"/>
      <protection locked="0"/>
    </xf>
    <xf numFmtId="0" fontId="7" fillId="2" borderId="4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Continuous" vertical="center"/>
    </xf>
    <xf numFmtId="164" fontId="6" fillId="2" borderId="4" xfId="0" applyNumberFormat="1" applyFont="1" applyFill="1" applyBorder="1" applyAlignment="1">
      <alignment horizontal="center" vertical="center"/>
    </xf>
    <xf numFmtId="0" fontId="7" fillId="2" borderId="0" xfId="0" applyFont="1" applyFill="1"/>
    <xf numFmtId="0" fontId="11" fillId="2" borderId="0" xfId="0" applyFont="1" applyFill="1" applyAlignment="1">
      <alignment horizontal="right"/>
    </xf>
    <xf numFmtId="0" fontId="7" fillId="2" borderId="0" xfId="0" applyFont="1" applyFill="1" applyAlignment="1">
      <alignment horizontal="center"/>
    </xf>
    <xf numFmtId="0" fontId="12" fillId="3" borderId="1" xfId="0" applyFont="1" applyFill="1" applyBorder="1"/>
    <xf numFmtId="0" fontId="7" fillId="3" borderId="3" xfId="0" applyFont="1" applyFill="1" applyBorder="1"/>
    <xf numFmtId="0" fontId="12" fillId="3" borderId="1" xfId="0" applyFont="1" applyFill="1" applyBorder="1" applyAlignment="1">
      <alignment horizontal="centerContinuous" vertical="center"/>
    </xf>
    <xf numFmtId="0" fontId="12" fillId="3" borderId="2" xfId="0" applyFont="1" applyFill="1" applyBorder="1" applyAlignment="1">
      <alignment horizontal="centerContinuous"/>
    </xf>
    <xf numFmtId="0" fontId="12" fillId="3" borderId="3" xfId="0" applyFont="1" applyFill="1" applyBorder="1" applyAlignment="1">
      <alignment horizontal="centerContinuous"/>
    </xf>
    <xf numFmtId="0" fontId="12" fillId="3" borderId="1" xfId="0" applyFont="1" applyFill="1" applyBorder="1" applyAlignment="1">
      <alignment horizontal="centerContinuous"/>
    </xf>
    <xf numFmtId="0" fontId="7" fillId="3" borderId="3" xfId="0" applyFont="1" applyFill="1" applyBorder="1" applyAlignment="1">
      <alignment horizontal="centerContinuous"/>
    </xf>
    <xf numFmtId="0" fontId="7" fillId="3" borderId="7" xfId="0" applyFont="1" applyFill="1" applyBorder="1"/>
    <xf numFmtId="0" fontId="7" fillId="3" borderId="8" xfId="0" applyFont="1" applyFill="1" applyBorder="1"/>
    <xf numFmtId="0" fontId="12" fillId="3" borderId="8" xfId="0" applyFont="1" applyFill="1" applyBorder="1" applyAlignment="1">
      <alignment horizontal="center"/>
    </xf>
    <xf numFmtId="0" fontId="7" fillId="3" borderId="9" xfId="0" applyFont="1" applyFill="1" applyBorder="1"/>
    <xf numFmtId="0" fontId="12" fillId="3" borderId="7" xfId="0" applyFont="1" applyFill="1" applyBorder="1" applyAlignment="1">
      <alignment horizontal="centerContinuous"/>
    </xf>
    <xf numFmtId="0" fontId="12" fillId="3" borderId="8" xfId="0" applyFont="1" applyFill="1" applyBorder="1" applyAlignment="1">
      <alignment horizontal="centerContinuous"/>
    </xf>
    <xf numFmtId="0" fontId="7" fillId="3" borderId="8" xfId="0" applyFont="1" applyFill="1" applyBorder="1" applyAlignment="1">
      <alignment horizontal="centerContinuous"/>
    </xf>
    <xf numFmtId="0" fontId="7" fillId="3" borderId="9" xfId="0" applyFont="1" applyFill="1" applyBorder="1" applyAlignment="1">
      <alignment horizontal="centerContinuous"/>
    </xf>
    <xf numFmtId="0" fontId="12" fillId="3" borderId="4" xfId="0" applyFont="1" applyFill="1" applyBorder="1"/>
    <xf numFmtId="0" fontId="7" fillId="3" borderId="6" xfId="0" applyFont="1" applyFill="1" applyBorder="1"/>
    <xf numFmtId="0" fontId="12" fillId="3" borderId="10" xfId="0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/>
    </xf>
    <xf numFmtId="0" fontId="12" fillId="3" borderId="12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12" fillId="2" borderId="1" xfId="0" applyFont="1" applyFill="1" applyBorder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1" xfId="0" applyFont="1" applyFill="1" applyBorder="1"/>
    <xf numFmtId="0" fontId="13" fillId="2" borderId="1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165" fontId="14" fillId="2" borderId="1" xfId="0" applyNumberFormat="1" applyFont="1" applyFill="1" applyBorder="1" applyAlignment="1" applyProtection="1">
      <alignment horizontal="center" vertical="center" shrinkToFit="1"/>
      <protection locked="0"/>
    </xf>
    <xf numFmtId="165" fontId="14" fillId="2" borderId="2" xfId="0" applyNumberFormat="1" applyFont="1" applyFill="1" applyBorder="1" applyAlignment="1" applyProtection="1">
      <alignment horizontal="center" vertical="center" shrinkToFit="1"/>
      <protection locked="0"/>
    </xf>
    <xf numFmtId="165" fontId="14" fillId="2" borderId="3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2" xfId="0" applyFont="1" applyFill="1" applyBorder="1"/>
    <xf numFmtId="166" fontId="13" fillId="2" borderId="3" xfId="0" applyNumberFormat="1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5" fillId="2" borderId="0" xfId="0" applyFont="1" applyFill="1"/>
    <xf numFmtId="0" fontId="12" fillId="2" borderId="14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12" fillId="2" borderId="13" xfId="0" applyFont="1" applyFill="1" applyBorder="1" applyAlignment="1">
      <alignment horizontal="center"/>
    </xf>
    <xf numFmtId="0" fontId="7" fillId="2" borderId="15" xfId="0" applyFont="1" applyFill="1" applyBorder="1"/>
    <xf numFmtId="167" fontId="5" fillId="2" borderId="13" xfId="0" applyNumberFormat="1" applyFont="1" applyFill="1" applyBorder="1" applyAlignment="1">
      <alignment horizontal="center"/>
    </xf>
    <xf numFmtId="0" fontId="13" fillId="2" borderId="15" xfId="0" applyFont="1" applyFill="1" applyBorder="1" applyAlignment="1">
      <alignment horizontal="center"/>
    </xf>
    <xf numFmtId="165" fontId="14" fillId="2" borderId="13" xfId="0" applyNumberFormat="1" applyFont="1" applyFill="1" applyBorder="1" applyAlignment="1" applyProtection="1">
      <alignment horizontal="center" vertical="center" shrinkToFit="1"/>
      <protection locked="0"/>
    </xf>
    <xf numFmtId="165" fontId="14" fillId="2" borderId="0" xfId="0" applyNumberFormat="1" applyFont="1" applyFill="1" applyAlignment="1" applyProtection="1">
      <alignment horizontal="center" vertical="center" shrinkToFit="1"/>
      <protection locked="0"/>
    </xf>
    <xf numFmtId="165" fontId="14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0" xfId="0" applyFont="1" applyFill="1"/>
    <xf numFmtId="166" fontId="13" fillId="2" borderId="15" xfId="0" applyNumberFormat="1" applyFont="1" applyFill="1" applyBorder="1" applyAlignment="1">
      <alignment horizontal="center"/>
    </xf>
    <xf numFmtId="0" fontId="7" fillId="2" borderId="13" xfId="0" applyFont="1" applyFill="1" applyBorder="1"/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7" fillId="2" borderId="16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167" fontId="13" fillId="2" borderId="4" xfId="0" applyNumberFormat="1" applyFont="1" applyFill="1" applyBorder="1" applyAlignment="1">
      <alignment horizontal="left"/>
    </xf>
    <xf numFmtId="0" fontId="13" fillId="2" borderId="6" xfId="0" applyFont="1" applyFill="1" applyBorder="1" applyAlignment="1">
      <alignment horizontal="center"/>
    </xf>
    <xf numFmtId="0" fontId="13" fillId="2" borderId="5" xfId="0" applyFont="1" applyFill="1" applyBorder="1"/>
    <xf numFmtId="166" fontId="13" fillId="2" borderId="6" xfId="0" applyNumberFormat="1" applyFont="1" applyFill="1" applyBorder="1" applyAlignment="1">
      <alignment horizontal="center"/>
    </xf>
    <xf numFmtId="0" fontId="7" fillId="2" borderId="4" xfId="0" applyFont="1" applyFill="1" applyBorder="1"/>
    <xf numFmtId="0" fontId="7" fillId="2" borderId="5" xfId="0" applyFont="1" applyFill="1" applyBorder="1" applyAlignment="1">
      <alignment horizontal="center"/>
    </xf>
    <xf numFmtId="168" fontId="7" fillId="2" borderId="5" xfId="0" applyNumberFormat="1" applyFont="1" applyFill="1" applyBorder="1" applyAlignment="1">
      <alignment horizontal="center"/>
    </xf>
    <xf numFmtId="0" fontId="7" fillId="2" borderId="5" xfId="0" applyFont="1" applyFill="1" applyBorder="1"/>
    <xf numFmtId="0" fontId="7" fillId="2" borderId="17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12" fillId="2" borderId="4" xfId="0" applyFont="1" applyFill="1" applyBorder="1"/>
    <xf numFmtId="2" fontId="7" fillId="2" borderId="5" xfId="0" applyNumberFormat="1" applyFont="1" applyFill="1" applyBorder="1" applyAlignment="1">
      <alignment horizontal="left"/>
    </xf>
    <xf numFmtId="0" fontId="7" fillId="2" borderId="6" xfId="0" applyFont="1" applyFill="1" applyBorder="1"/>
    <xf numFmtId="167" fontId="13" fillId="4" borderId="4" xfId="0" applyNumberFormat="1" applyFont="1" applyFill="1" applyBorder="1" applyAlignment="1">
      <alignment horizontal="left"/>
    </xf>
    <xf numFmtId="0" fontId="5" fillId="4" borderId="6" xfId="0" applyFont="1" applyFill="1" applyBorder="1" applyAlignment="1">
      <alignment horizontal="right"/>
    </xf>
    <xf numFmtId="165" fontId="13" fillId="4" borderId="18" xfId="0" applyNumberFormat="1" applyFont="1" applyFill="1" applyBorder="1" applyAlignment="1">
      <alignment horizontal="center" shrinkToFit="1"/>
    </xf>
    <xf numFmtId="165" fontId="13" fillId="4" borderId="19" xfId="0" applyNumberFormat="1" applyFont="1" applyFill="1" applyBorder="1" applyAlignment="1">
      <alignment horizontal="center" shrinkToFit="1"/>
    </xf>
    <xf numFmtId="165" fontId="13" fillId="4" borderId="20" xfId="0" applyNumberFormat="1" applyFont="1" applyFill="1" applyBorder="1" applyAlignment="1">
      <alignment horizontal="center" shrinkToFit="1"/>
    </xf>
    <xf numFmtId="0" fontId="16" fillId="4" borderId="7" xfId="0" applyFont="1" applyFill="1" applyBorder="1" applyAlignment="1">
      <alignment horizontal="center"/>
    </xf>
    <xf numFmtId="166" fontId="13" fillId="4" borderId="9" xfId="0" applyNumberFormat="1" applyFont="1" applyFill="1" applyBorder="1" applyAlignment="1">
      <alignment horizontal="center"/>
    </xf>
    <xf numFmtId="167" fontId="13" fillId="4" borderId="13" xfId="0" applyNumberFormat="1" applyFont="1" applyFill="1" applyBorder="1" applyAlignment="1">
      <alignment horizontal="left"/>
    </xf>
    <xf numFmtId="169" fontId="13" fillId="4" borderId="10" xfId="0" applyNumberFormat="1" applyFont="1" applyFill="1" applyBorder="1" applyAlignment="1">
      <alignment horizontal="center" shrinkToFit="1"/>
    </xf>
    <xf numFmtId="169" fontId="13" fillId="4" borderId="11" xfId="0" applyNumberFormat="1" applyFont="1" applyFill="1" applyBorder="1" applyAlignment="1">
      <alignment horizontal="center" shrinkToFit="1"/>
    </xf>
    <xf numFmtId="169" fontId="13" fillId="4" borderId="12" xfId="0" applyNumberFormat="1" applyFont="1" applyFill="1" applyBorder="1" applyAlignment="1">
      <alignment horizontal="center" shrinkToFit="1"/>
    </xf>
    <xf numFmtId="0" fontId="16" fillId="4" borderId="1" xfId="0" applyFont="1" applyFill="1" applyBorder="1" applyAlignment="1">
      <alignment horizontal="center"/>
    </xf>
    <xf numFmtId="166" fontId="13" fillId="4" borderId="3" xfId="0" applyNumberFormat="1" applyFont="1" applyFill="1" applyBorder="1" applyAlignment="1">
      <alignment horizontal="center"/>
    </xf>
    <xf numFmtId="168" fontId="7" fillId="2" borderId="0" xfId="0" applyNumberFormat="1" applyFont="1" applyFill="1" applyAlignment="1">
      <alignment horizontal="center"/>
    </xf>
    <xf numFmtId="2" fontId="7" fillId="2" borderId="0" xfId="0" applyNumberFormat="1" applyFont="1" applyFill="1" applyAlignment="1">
      <alignment horizontal="left"/>
    </xf>
    <xf numFmtId="170" fontId="7" fillId="2" borderId="0" xfId="0" applyNumberFormat="1" applyFont="1" applyFill="1" applyAlignment="1">
      <alignment horizontal="left"/>
    </xf>
    <xf numFmtId="0" fontId="17" fillId="2" borderId="14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166" fontId="7" fillId="2" borderId="14" xfId="0" applyNumberFormat="1" applyFont="1" applyFill="1" applyBorder="1" applyAlignment="1">
      <alignment horizontal="center" vertical="center"/>
    </xf>
    <xf numFmtId="166" fontId="5" fillId="2" borderId="0" xfId="0" applyNumberFormat="1" applyFont="1" applyFill="1"/>
    <xf numFmtId="166" fontId="7" fillId="2" borderId="15" xfId="0" applyNumberFormat="1" applyFont="1" applyFill="1" applyBorder="1" applyAlignment="1">
      <alignment horizontal="center"/>
    </xf>
    <xf numFmtId="2" fontId="12" fillId="2" borderId="0" xfId="0" applyNumberFormat="1" applyFont="1" applyFill="1" applyAlignment="1">
      <alignment horizontal="left"/>
    </xf>
    <xf numFmtId="171" fontId="7" fillId="2" borderId="5" xfId="0" applyNumberFormat="1" applyFont="1" applyFill="1" applyBorder="1" applyAlignment="1">
      <alignment horizontal="center"/>
    </xf>
    <xf numFmtId="0" fontId="18" fillId="5" borderId="13" xfId="0" applyFont="1" applyFill="1" applyBorder="1" applyAlignment="1">
      <alignment horizontal="centerContinuous"/>
    </xf>
    <xf numFmtId="0" fontId="7" fillId="5" borderId="0" xfId="0" applyFont="1" applyFill="1" applyAlignment="1">
      <alignment horizontal="centerContinuous"/>
    </xf>
    <xf numFmtId="2" fontId="7" fillId="5" borderId="0" xfId="0" applyNumberFormat="1" applyFont="1" applyFill="1" applyAlignment="1">
      <alignment horizontal="centerContinuous"/>
    </xf>
    <xf numFmtId="0" fontId="7" fillId="5" borderId="15" xfId="0" applyFont="1" applyFill="1" applyBorder="1" applyAlignment="1">
      <alignment horizontal="centerContinuous"/>
    </xf>
    <xf numFmtId="0" fontId="16" fillId="4" borderId="4" xfId="0" applyFont="1" applyFill="1" applyBorder="1" applyAlignment="1">
      <alignment horizontal="center"/>
    </xf>
    <xf numFmtId="166" fontId="13" fillId="4" borderId="6" xfId="0" applyNumberFormat="1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166" fontId="13" fillId="4" borderId="15" xfId="0" applyNumberFormat="1" applyFont="1" applyFill="1" applyBorder="1" applyAlignment="1">
      <alignment horizontal="center"/>
    </xf>
    <xf numFmtId="167" fontId="13" fillId="2" borderId="1" xfId="0" applyNumberFormat="1" applyFont="1" applyFill="1" applyBorder="1" applyAlignment="1">
      <alignment horizontal="left"/>
    </xf>
    <xf numFmtId="0" fontId="13" fillId="2" borderId="3" xfId="0" applyFont="1" applyFill="1" applyBorder="1"/>
    <xf numFmtId="2" fontId="13" fillId="2" borderId="10" xfId="0" applyNumberFormat="1" applyFont="1" applyFill="1" applyBorder="1"/>
    <xf numFmtId="2" fontId="13" fillId="2" borderId="11" xfId="0" applyNumberFormat="1" applyFont="1" applyFill="1" applyBorder="1"/>
    <xf numFmtId="2" fontId="13" fillId="2" borderId="12" xfId="0" applyNumberFormat="1" applyFont="1" applyFill="1" applyBorder="1"/>
    <xf numFmtId="0" fontId="16" fillId="2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 vertical="center"/>
    </xf>
    <xf numFmtId="167" fontId="7" fillId="2" borderId="4" xfId="0" applyNumberFormat="1" applyFont="1" applyFill="1" applyBorder="1" applyAlignment="1">
      <alignment horizontal="left"/>
    </xf>
    <xf numFmtId="2" fontId="7" fillId="2" borderId="21" xfId="0" applyNumberFormat="1" applyFont="1" applyFill="1" applyBorder="1" applyAlignment="1">
      <alignment horizontal="center"/>
    </xf>
    <xf numFmtId="2" fontId="7" fillId="2" borderId="22" xfId="0" applyNumberFormat="1" applyFont="1" applyFill="1" applyBorder="1" applyAlignment="1">
      <alignment horizontal="center"/>
    </xf>
    <xf numFmtId="2" fontId="7" fillId="2" borderId="23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166" fontId="7" fillId="2" borderId="6" xfId="0" applyNumberFormat="1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/>
    </xf>
    <xf numFmtId="167" fontId="7" fillId="2" borderId="7" xfId="0" applyNumberFormat="1" applyFont="1" applyFill="1" applyBorder="1" applyAlignment="1">
      <alignment horizontal="left"/>
    </xf>
    <xf numFmtId="0" fontId="20" fillId="2" borderId="8" xfId="0" applyFont="1" applyFill="1" applyBorder="1"/>
    <xf numFmtId="0" fontId="7" fillId="2" borderId="8" xfId="0" applyFont="1" applyFill="1" applyBorder="1"/>
    <xf numFmtId="0" fontId="15" fillId="2" borderId="4" xfId="0" applyFont="1" applyFill="1" applyBorder="1" applyAlignment="1">
      <alignment horizontal="left"/>
    </xf>
    <xf numFmtId="166" fontId="7" fillId="2" borderId="9" xfId="0" applyNumberFormat="1" applyFont="1" applyFill="1" applyBorder="1" applyAlignment="1">
      <alignment horizontal="center"/>
    </xf>
    <xf numFmtId="0" fontId="11" fillId="2" borderId="5" xfId="0" applyFont="1" applyFill="1" applyBorder="1"/>
    <xf numFmtId="0" fontId="11" fillId="2" borderId="8" xfId="0" applyFont="1" applyFill="1" applyBorder="1"/>
    <xf numFmtId="0" fontId="11" fillId="2" borderId="8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left"/>
    </xf>
    <xf numFmtId="2" fontId="5" fillId="2" borderId="0" xfId="0" applyNumberFormat="1" applyFont="1" applyFill="1" applyAlignment="1">
      <alignment horizontal="left"/>
    </xf>
    <xf numFmtId="0" fontId="21" fillId="2" borderId="13" xfId="0" applyFont="1" applyFill="1" applyBorder="1" applyAlignment="1">
      <alignment horizontal="center" vertical="center"/>
    </xf>
    <xf numFmtId="0" fontId="5" fillId="2" borderId="1" xfId="0" applyFont="1" applyFill="1" applyBorder="1"/>
    <xf numFmtId="171" fontId="7" fillId="2" borderId="0" xfId="0" applyNumberFormat="1" applyFont="1" applyFill="1" applyAlignment="1">
      <alignment horizontal="center"/>
    </xf>
    <xf numFmtId="0" fontId="21" fillId="2" borderId="0" xfId="0" applyFont="1" applyFill="1" applyAlignment="1">
      <alignment horizontal="center" vertical="top"/>
    </xf>
    <xf numFmtId="1" fontId="12" fillId="2" borderId="0" xfId="0" applyNumberFormat="1" applyFont="1" applyFill="1" applyAlignment="1">
      <alignment horizontal="left"/>
    </xf>
    <xf numFmtId="0" fontId="5" fillId="2" borderId="13" xfId="0" applyFont="1" applyFill="1" applyBorder="1"/>
    <xf numFmtId="170" fontId="7" fillId="2" borderId="5" xfId="0" applyNumberFormat="1" applyFont="1" applyFill="1" applyBorder="1" applyAlignment="1">
      <alignment horizontal="left"/>
    </xf>
    <xf numFmtId="0" fontId="18" fillId="5" borderId="4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shrinkToFit="1"/>
    </xf>
    <xf numFmtId="0" fontId="22" fillId="2" borderId="13" xfId="0" applyFont="1" applyFill="1" applyBorder="1"/>
    <xf numFmtId="0" fontId="23" fillId="2" borderId="0" xfId="0" applyFont="1" applyFill="1"/>
    <xf numFmtId="0" fontId="22" fillId="2" borderId="0" xfId="0" applyFont="1" applyFill="1"/>
    <xf numFmtId="0" fontId="12" fillId="3" borderId="7" xfId="0" applyFont="1" applyFill="1" applyBorder="1" applyAlignment="1">
      <alignment horizontal="center"/>
    </xf>
    <xf numFmtId="0" fontId="23" fillId="6" borderId="13" xfId="0" applyFont="1" applyFill="1" applyBorder="1"/>
    <xf numFmtId="0" fontId="5" fillId="6" borderId="0" xfId="0" applyFont="1" applyFill="1" applyAlignment="1">
      <alignment horizontal="right"/>
    </xf>
    <xf numFmtId="0" fontId="23" fillId="6" borderId="0" xfId="0" applyFont="1" applyFill="1"/>
    <xf numFmtId="0" fontId="23" fillId="2" borderId="0" xfId="0" applyFont="1" applyFill="1" applyAlignment="1">
      <alignment horizontal="right"/>
    </xf>
    <xf numFmtId="0" fontId="12" fillId="2" borderId="1" xfId="0" applyFont="1" applyFill="1" applyBorder="1" applyAlignment="1">
      <alignment horizontal="center" vertical="center"/>
    </xf>
    <xf numFmtId="0" fontId="24" fillId="2" borderId="0" xfId="0" applyFont="1" applyFill="1"/>
    <xf numFmtId="0" fontId="23" fillId="2" borderId="13" xfId="0" applyFont="1" applyFill="1" applyBorder="1"/>
    <xf numFmtId="0" fontId="5" fillId="2" borderId="0" xfId="0" applyFont="1" applyFill="1" applyAlignment="1">
      <alignment horizontal="right"/>
    </xf>
    <xf numFmtId="0" fontId="23" fillId="2" borderId="15" xfId="0" applyFont="1" applyFill="1" applyBorder="1"/>
    <xf numFmtId="0" fontId="7" fillId="2" borderId="14" xfId="0" applyFont="1" applyFill="1" applyBorder="1" applyAlignment="1">
      <alignment horizontal="center"/>
    </xf>
    <xf numFmtId="0" fontId="25" fillId="7" borderId="0" xfId="0" applyFont="1" applyFill="1" applyAlignment="1">
      <alignment shrinkToFit="1"/>
    </xf>
    <xf numFmtId="0" fontId="26" fillId="7" borderId="0" xfId="0" applyFont="1" applyFill="1" applyAlignment="1">
      <alignment shrinkToFit="1"/>
    </xf>
    <xf numFmtId="0" fontId="7" fillId="2" borderId="24" xfId="0" applyFont="1" applyFill="1" applyBorder="1"/>
    <xf numFmtId="0" fontId="27" fillId="7" borderId="0" xfId="0" applyFont="1" applyFill="1" applyAlignment="1">
      <alignment horizontal="left" shrinkToFit="1"/>
    </xf>
    <xf numFmtId="2" fontId="25" fillId="7" borderId="0" xfId="0" applyNumberFormat="1" applyFont="1" applyFill="1" applyAlignment="1">
      <alignment horizontal="center" shrinkToFit="1"/>
    </xf>
    <xf numFmtId="0" fontId="22" fillId="2" borderId="15" xfId="0" applyFont="1" applyFill="1" applyBorder="1"/>
    <xf numFmtId="0" fontId="23" fillId="6" borderId="13" xfId="0" applyFont="1" applyFill="1" applyBorder="1" applyAlignment="1">
      <alignment horizontal="right"/>
    </xf>
    <xf numFmtId="0" fontId="23" fillId="2" borderId="4" xfId="0" applyFont="1" applyFill="1" applyBorder="1" applyAlignment="1">
      <alignment horizontal="right"/>
    </xf>
    <xf numFmtId="0" fontId="5" fillId="2" borderId="5" xfId="0" applyFont="1" applyFill="1" applyBorder="1" applyAlignment="1">
      <alignment horizontal="right"/>
    </xf>
    <xf numFmtId="0" fontId="23" fillId="2" borderId="5" xfId="0" applyFont="1" applyFill="1" applyBorder="1"/>
    <xf numFmtId="0" fontId="23" fillId="2" borderId="5" xfId="0" applyFont="1" applyFill="1" applyBorder="1" applyAlignment="1">
      <alignment horizontal="right"/>
    </xf>
    <xf numFmtId="0" fontId="27" fillId="7" borderId="5" xfId="0" applyFont="1" applyFill="1" applyBorder="1" applyAlignment="1">
      <alignment horizontal="left" shrinkToFit="1"/>
    </xf>
    <xf numFmtId="1" fontId="25" fillId="7" borderId="5" xfId="0" applyNumberFormat="1" applyFont="1" applyFill="1" applyBorder="1" applyAlignment="1">
      <alignment horizontal="center" shrinkToFit="1"/>
    </xf>
    <xf numFmtId="0" fontId="25" fillId="7" borderId="5" xfId="0" applyFont="1" applyFill="1" applyBorder="1" applyAlignment="1">
      <alignment shrinkToFit="1"/>
    </xf>
    <xf numFmtId="0" fontId="22" fillId="2" borderId="6" xfId="0" applyFont="1" applyFill="1" applyBorder="1"/>
    <xf numFmtId="0" fontId="23" fillId="2" borderId="0" xfId="0" applyFont="1" applyFill="1" applyAlignment="1">
      <alignment vertical="center"/>
    </xf>
    <xf numFmtId="0" fontId="23" fillId="2" borderId="2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right" vertical="center"/>
    </xf>
    <xf numFmtId="0" fontId="2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F48"/>
  <sheetViews>
    <sheetView workbookViewId="0" zoomScale="85" zoomScaleNormal="100" view="pageBreakPreview">
      <selection activeCell="AD29" sqref="AD29"/>
    </sheetView>
  </sheetViews>
  <sheetFormatPr defaultRowHeight="12.75" outlineLevelRow="0" outlineLevelCol="0" x14ac:dyDescent="0" defaultColWidth="6.75" customHeight="1"/>
  <cols>
    <col min="1" max="1" width="6.625" customWidth="1"/>
    <col min="2" max="2" width="5.25" customWidth="1"/>
    <col min="3" max="12" width="6.625" customWidth="1"/>
    <col min="13" max="13" width="4.625" customWidth="1"/>
    <col min="14" max="14" width="9.25" customWidth="1"/>
    <col min="15" max="15" width="1" customWidth="1"/>
    <col min="16" max="16" width="5.375" customWidth="1"/>
    <col min="17" max="17" width="6.75" customWidth="1"/>
    <col min="18" max="18" width="10" customWidth="1"/>
    <col min="19" max="20" width="6.75" customWidth="1"/>
    <col min="21" max="22" width="7.75" customWidth="1"/>
    <col min="23" max="23" width="8.125" customWidth="1"/>
    <col min="24" max="24" width="7.25" customWidth="1"/>
    <col min="25" max="26" width="8.875" customWidth="1"/>
    <col min="27" max="27" width="1" customWidth="1"/>
    <col min="28" max="33" width="8" customWidth="1"/>
  </cols>
  <sheetData>
    <row r="1" ht="36.75" customHeight="1" spans="1:3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1" t="s">
        <v>1</v>
      </c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2"/>
      <c r="AC1" s="2"/>
      <c r="AD1" s="2"/>
      <c r="AE1" s="2"/>
      <c r="AF1" s="2"/>
      <c r="AG1" s="2"/>
    </row>
    <row r="2" ht="15.75" customHeight="1" spans="1:33" x14ac:dyDescent="0.25">
      <c r="A2" s="3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3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5"/>
      <c r="AC2" s="5"/>
      <c r="AD2" s="5"/>
      <c r="AE2" s="5"/>
      <c r="AF2" s="5"/>
      <c r="AG2" s="5"/>
    </row>
    <row r="3" ht="15.75" customHeight="1" spans="1:33" x14ac:dyDescent="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5"/>
      <c r="P3" s="3" t="s">
        <v>3</v>
      </c>
      <c r="Q3" s="4"/>
      <c r="R3" s="4"/>
      <c r="S3" s="4"/>
      <c r="T3" s="4"/>
      <c r="U3" s="4"/>
      <c r="V3" s="4"/>
      <c r="W3" s="4"/>
      <c r="X3" s="4"/>
      <c r="Y3" s="4"/>
      <c r="Z3" s="4"/>
      <c r="AA3" s="5"/>
      <c r="AB3" s="5"/>
      <c r="AC3" s="5"/>
      <c r="AD3" s="5"/>
      <c r="AE3" s="5"/>
      <c r="AF3" s="5"/>
      <c r="AG3" s="5"/>
    </row>
    <row r="4" ht="11.25" customHeight="1" spans="1:33" x14ac:dyDescent="0.25">
      <c r="A4" s="6" t="s">
        <v>4</v>
      </c>
      <c r="B4" s="7"/>
      <c r="C4" s="7"/>
      <c r="D4" s="7"/>
      <c r="E4" s="8"/>
      <c r="F4" s="6" t="s">
        <v>5</v>
      </c>
      <c r="G4" s="7"/>
      <c r="H4" s="7"/>
      <c r="I4" s="8"/>
      <c r="J4" s="6" t="s">
        <v>6</v>
      </c>
      <c r="K4" s="7"/>
      <c r="L4" s="7"/>
      <c r="M4" s="7"/>
      <c r="N4" s="8"/>
      <c r="O4" s="9"/>
      <c r="P4" s="6" t="s">
        <v>7</v>
      </c>
      <c r="Q4" s="7"/>
      <c r="R4" s="8"/>
      <c r="S4" s="6" t="s">
        <v>8</v>
      </c>
      <c r="T4" s="7"/>
      <c r="U4" s="7"/>
      <c r="V4" s="8"/>
      <c r="W4" s="6" t="s">
        <v>9</v>
      </c>
      <c r="X4" s="7"/>
      <c r="Y4" s="7"/>
      <c r="Z4" s="8"/>
      <c r="AA4" s="9"/>
      <c r="AB4" s="9"/>
      <c r="AC4" s="9"/>
      <c r="AD4" s="9"/>
      <c r="AE4" s="9"/>
      <c r="AF4" s="9"/>
      <c r="AG4" s="9"/>
    </row>
    <row r="5" spans="1:58" x14ac:dyDescent="0.25">
      <c r="A5" s="10" t="s">
        <v>10</v>
      </c>
      <c r="B5" s="11"/>
      <c r="C5" s="11"/>
      <c r="D5" s="11"/>
      <c r="E5" s="12"/>
      <c r="F5" s="10" t="s">
        <v>11</v>
      </c>
      <c r="G5" s="13"/>
      <c r="H5" s="13"/>
      <c r="I5" s="14"/>
      <c r="J5" s="15" t="s">
        <v>12</v>
      </c>
      <c r="K5" s="13"/>
      <c r="L5" s="13"/>
      <c r="M5" s="13"/>
      <c r="N5" s="14"/>
      <c r="O5" s="16"/>
      <c r="P5" s="10" t="str">
        <f>A5</f>
        <v>31040-D3500</v>
      </c>
      <c r="Q5" s="13"/>
      <c r="R5" s="14"/>
      <c r="S5" s="10" t="str">
        <f>IF(F5&lt;&gt;"",F5,"")</f>
        <v>V/C</v>
      </c>
      <c r="T5" s="13"/>
      <c r="U5" s="13"/>
      <c r="V5" s="14"/>
      <c r="W5" s="10" t="str">
        <f>IF(J5&lt;&gt;"",J5,"")</f>
        <v>현재성</v>
      </c>
      <c r="X5" s="11"/>
      <c r="Y5" s="11"/>
      <c r="Z5" s="12"/>
      <c r="AA5" s="16"/>
      <c r="AB5" s="16"/>
      <c r="AC5" s="16"/>
      <c r="AD5" s="16"/>
      <c r="AE5" s="16"/>
      <c r="AF5" s="16"/>
      <c r="AG5" s="16"/>
    </row>
    <row r="6" ht="11.25" customHeight="1" spans="1:33" x14ac:dyDescent="0.25">
      <c r="A6" s="6" t="s">
        <v>13</v>
      </c>
      <c r="B6" s="7"/>
      <c r="C6" s="7"/>
      <c r="D6" s="7"/>
      <c r="E6" s="8"/>
      <c r="F6" s="6" t="s">
        <v>14</v>
      </c>
      <c r="G6" s="7"/>
      <c r="H6" s="7"/>
      <c r="I6" s="8"/>
      <c r="J6" s="6" t="s">
        <v>15</v>
      </c>
      <c r="K6" s="7"/>
      <c r="L6" s="7"/>
      <c r="M6" s="7"/>
      <c r="N6" s="8"/>
      <c r="O6" s="9"/>
      <c r="P6" s="6" t="s">
        <v>16</v>
      </c>
      <c r="Q6" s="7"/>
      <c r="R6" s="8"/>
      <c r="S6" s="6" t="s">
        <v>17</v>
      </c>
      <c r="T6" s="7"/>
      <c r="U6" s="7"/>
      <c r="V6" s="8"/>
      <c r="W6" s="6" t="s">
        <v>18</v>
      </c>
      <c r="X6" s="7"/>
      <c r="Y6" s="7"/>
      <c r="Z6" s="8"/>
      <c r="AA6" s="9"/>
      <c r="AB6" s="9"/>
      <c r="AC6" s="9"/>
      <c r="AD6" s="9"/>
      <c r="AE6" s="9"/>
      <c r="AF6" s="9"/>
      <c r="AG6" s="9"/>
    </row>
    <row r="7" spans="1:54" x14ac:dyDescent="0.25">
      <c r="A7" s="17" t="s">
        <v>19</v>
      </c>
      <c r="B7" s="11"/>
      <c r="C7" s="11"/>
      <c r="D7" s="11"/>
      <c r="E7" s="12"/>
      <c r="F7" s="18" t="s">
        <v>20</v>
      </c>
      <c r="G7" s="13"/>
      <c r="H7" s="13"/>
      <c r="I7" s="14"/>
      <c r="J7" s="15" t="s">
        <v>21</v>
      </c>
      <c r="K7" s="13"/>
      <c r="L7" s="13"/>
      <c r="M7" s="13"/>
      <c r="N7" s="14"/>
      <c r="O7" s="16"/>
      <c r="P7" s="10" t="str">
        <f>A7</f>
        <v>F/NECK</v>
      </c>
      <c r="Q7" s="13"/>
      <c r="R7" s="14"/>
      <c r="S7" s="10" t="str">
        <f>IF(F7&lt;&gt;"",F7,"")</f>
        <v>B24095993</v>
      </c>
      <c r="T7" s="13"/>
      <c r="U7" s="13"/>
      <c r="V7" s="14"/>
      <c r="W7" s="10" t="str">
        <f>IF(J7&lt;&gt;"",J7,"")</f>
        <v>지영준</v>
      </c>
      <c r="X7" s="11"/>
      <c r="Y7" s="11"/>
      <c r="Z7" s="12"/>
      <c r="AA7" s="16"/>
      <c r="AB7" s="16">
        <f>(40.4+41)/2</f>
        <v>40.7</v>
      </c>
      <c r="AC7" s="16"/>
      <c r="AD7" s="16"/>
      <c r="AE7" s="16"/>
      <c r="AF7" s="16"/>
      <c r="AG7" s="16"/>
    </row>
    <row r="8" spans="1:33" x14ac:dyDescent="0.25">
      <c r="A8" s="6" t="s">
        <v>22</v>
      </c>
      <c r="B8" s="7"/>
      <c r="C8" s="7"/>
      <c r="D8" s="19" t="s">
        <v>23</v>
      </c>
      <c r="E8" s="20"/>
      <c r="F8" s="6" t="s">
        <v>24</v>
      </c>
      <c r="G8" s="7"/>
      <c r="H8" s="7"/>
      <c r="I8" s="8"/>
      <c r="J8" s="6" t="s">
        <v>25</v>
      </c>
      <c r="K8" s="7"/>
      <c r="L8" s="7"/>
      <c r="M8" s="7"/>
      <c r="N8" s="8"/>
      <c r="O8" s="9"/>
      <c r="P8" s="6" t="s">
        <v>26</v>
      </c>
      <c r="Q8" s="21"/>
      <c r="R8" s="22"/>
      <c r="S8" s="6" t="s">
        <v>27</v>
      </c>
      <c r="T8" s="7"/>
      <c r="U8" s="7"/>
      <c r="V8" s="8"/>
      <c r="W8" s="6" t="s">
        <v>28</v>
      </c>
      <c r="X8" s="7"/>
      <c r="Y8" s="7"/>
      <c r="Z8" s="8"/>
      <c r="AA8" s="9"/>
      <c r="AB8" s="9"/>
      <c r="AC8" s="9"/>
      <c r="AD8" s="9"/>
      <c r="AE8" s="9"/>
      <c r="AF8" s="9"/>
      <c r="AG8" s="9"/>
    </row>
    <row r="9" spans="1:33" x14ac:dyDescent="0.25">
      <c r="A9" s="10" t="s">
        <v>29</v>
      </c>
      <c r="B9" s="13"/>
      <c r="C9" s="13"/>
      <c r="D9" s="23">
        <v>40.4</v>
      </c>
      <c r="E9" s="24">
        <v>41</v>
      </c>
      <c r="F9" s="25" t="s">
        <v>30</v>
      </c>
      <c r="G9" s="13"/>
      <c r="H9" s="13"/>
      <c r="I9" s="14"/>
      <c r="J9" s="15" t="s">
        <v>31</v>
      </c>
      <c r="K9" s="13"/>
      <c r="L9" s="13"/>
      <c r="M9" s="13"/>
      <c r="N9" s="14"/>
      <c r="O9" s="16"/>
      <c r="P9" s="10" t="str">
        <f>IF(A9&lt;&gt;"",A9,"")</f>
        <v>40.7±0.3</v>
      </c>
      <c r="Q9" s="13"/>
      <c r="R9" s="14"/>
      <c r="S9" s="10" t="str">
        <f>IF(F9&lt;&gt;"",F9,"")</f>
        <v>DIGITAL</v>
      </c>
      <c r="T9" s="13"/>
      <c r="U9" s="13"/>
      <c r="V9" s="14"/>
      <c r="W9" s="10" t="str">
        <f>IF(J9&lt;&gt;"",J9,"")</f>
        <v>박상윤</v>
      </c>
      <c r="X9" s="11"/>
      <c r="Y9" s="11"/>
      <c r="Z9" s="12"/>
      <c r="AA9" s="16"/>
      <c r="AB9" s="16"/>
      <c r="AC9" s="16"/>
      <c r="AD9" s="16"/>
      <c r="AE9" s="16"/>
      <c r="AF9" s="16"/>
      <c r="AG9" s="16"/>
    </row>
    <row r="10" spans="1:33" x14ac:dyDescent="0.25">
      <c r="A10" s="6" t="s">
        <v>32</v>
      </c>
      <c r="B10" s="7"/>
      <c r="C10" s="7"/>
      <c r="D10" s="7"/>
      <c r="E10" s="8"/>
      <c r="F10" s="6" t="s">
        <v>33</v>
      </c>
      <c r="G10" s="8"/>
      <c r="H10" s="6"/>
      <c r="I10" s="8"/>
      <c r="J10" s="6" t="s">
        <v>34</v>
      </c>
      <c r="K10" s="8"/>
      <c r="L10" s="6" t="s">
        <v>35</v>
      </c>
      <c r="M10" s="7"/>
      <c r="N10" s="8"/>
      <c r="O10" s="16"/>
      <c r="P10" s="6" t="s">
        <v>32</v>
      </c>
      <c r="Q10" s="21"/>
      <c r="R10" s="22"/>
      <c r="S10" s="6" t="s">
        <v>36</v>
      </c>
      <c r="T10" s="8"/>
      <c r="U10" s="6" t="s">
        <v>37</v>
      </c>
      <c r="V10" s="8"/>
      <c r="W10" s="6" t="s">
        <v>34</v>
      </c>
      <c r="X10" s="8"/>
      <c r="Y10" s="6" t="s">
        <v>35</v>
      </c>
      <c r="Z10" s="8"/>
      <c r="AA10" s="16"/>
      <c r="AB10" s="16"/>
      <c r="AC10" s="16"/>
      <c r="AD10" s="16"/>
      <c r="AE10" s="16"/>
      <c r="AF10" s="16"/>
      <c r="AG10" s="16"/>
    </row>
    <row r="11" spans="1:33" x14ac:dyDescent="0.25">
      <c r="A11" s="25"/>
      <c r="B11" s="13"/>
      <c r="C11" s="13"/>
      <c r="D11" s="13"/>
      <c r="E11" s="14"/>
      <c r="F11" s="26">
        <f>IF(C15&lt;&gt;"",COUNT(C15:C17),"")</f>
        <v>3</v>
      </c>
      <c r="G11" s="27"/>
      <c r="H11" s="26">
        <f>IF(C15&lt;&gt;"",COUNT(C15:L15),"")</f>
        <v>10</v>
      </c>
      <c r="I11" s="27"/>
      <c r="J11" s="26">
        <f>IF(C15&lt;&gt;"",COUNT(C15,C20,C25),"")</f>
        <v>3</v>
      </c>
      <c r="K11" s="28"/>
      <c r="L11" s="29" t="s">
        <v>38</v>
      </c>
      <c r="M11" s="29"/>
      <c r="N11" s="29"/>
      <c r="O11" s="16"/>
      <c r="P11" s="30">
        <f>IF(A11&lt;&gt;"",A11,"")</f>
      </c>
      <c r="Q11" s="11"/>
      <c r="R11" s="12"/>
      <c r="S11" s="31">
        <f>F11</f>
        <v>3</v>
      </c>
      <c r="T11" s="28"/>
      <c r="U11" s="31">
        <f>H11</f>
        <v>10</v>
      </c>
      <c r="V11" s="28"/>
      <c r="W11" s="31">
        <f>J11</f>
        <v>3</v>
      </c>
      <c r="X11" s="28"/>
      <c r="Y11" s="32">
        <f>IF(L11&lt;&gt;"",L11,"")</f>
        <v>NaN</v>
      </c>
      <c r="Z11" s="32"/>
      <c r="AA11" s="16"/>
      <c r="AB11" s="16"/>
      <c r="AC11" s="16"/>
      <c r="AD11" s="16"/>
      <c r="AE11" s="16"/>
      <c r="AF11" s="16"/>
      <c r="AG11" s="16"/>
    </row>
    <row r="12" ht="8.25" customHeight="1" spans="1:33" x14ac:dyDescent="0.25">
      <c r="A12" s="33"/>
      <c r="B12" s="33"/>
      <c r="C12" s="33"/>
      <c r="D12" s="34"/>
      <c r="E12" s="34">
        <f>IF(D9&gt;E9,"ENTER LOWER TOLERANCE IN D9","")</f>
      </c>
      <c r="F12" s="33">
        <f>IF(C15&lt;&gt;"",IF(F11*H11*J11&lt;90,"DERIVED RESULTS MAY NOT BE STATISTICALLY SOUND",""),"")</f>
      </c>
      <c r="G12" s="35"/>
      <c r="H12" s="33"/>
      <c r="I12" s="35"/>
      <c r="J12" s="33"/>
      <c r="K12" s="35"/>
      <c r="L12" s="33"/>
      <c r="M12" s="33"/>
      <c r="N12" s="33"/>
      <c r="O12" s="33"/>
      <c r="P12" s="33"/>
      <c r="Q12" s="33"/>
      <c r="R12" s="33"/>
      <c r="S12" s="33"/>
      <c r="T12" s="35"/>
      <c r="U12" s="33"/>
      <c r="V12" s="35"/>
      <c r="W12" s="33"/>
      <c r="X12" s="35"/>
      <c r="Y12" s="33"/>
      <c r="Z12" s="33"/>
      <c r="AA12" s="33"/>
      <c r="AB12" s="33"/>
      <c r="AC12" s="33"/>
      <c r="AD12" s="33"/>
      <c r="AE12" s="33"/>
      <c r="AF12" s="33"/>
      <c r="AG12" s="33"/>
    </row>
    <row r="13" ht="18.75" customHeight="1" spans="1:33" x14ac:dyDescent="0.25">
      <c r="A13" s="36" t="s">
        <v>39</v>
      </c>
      <c r="B13" s="37"/>
      <c r="C13" s="38" t="s">
        <v>40</v>
      </c>
      <c r="D13" s="39"/>
      <c r="E13" s="39"/>
      <c r="F13" s="39"/>
      <c r="G13" s="39"/>
      <c r="H13" s="39"/>
      <c r="I13" s="39"/>
      <c r="J13" s="39"/>
      <c r="K13" s="39"/>
      <c r="L13" s="40"/>
      <c r="M13" s="41" t="s">
        <v>41</v>
      </c>
      <c r="N13" s="42"/>
      <c r="O13" s="33"/>
      <c r="P13" s="43"/>
      <c r="Q13" s="44"/>
      <c r="R13" s="44"/>
      <c r="S13" s="45" t="s">
        <v>42</v>
      </c>
      <c r="T13" s="44"/>
      <c r="U13" s="44"/>
      <c r="V13" s="46"/>
      <c r="W13" s="47" t="s">
        <v>43</v>
      </c>
      <c r="X13" s="48"/>
      <c r="Y13" s="49"/>
      <c r="Z13" s="50"/>
      <c r="AA13" s="33"/>
      <c r="AB13" s="33"/>
      <c r="AC13" s="33"/>
      <c r="AD13" s="33"/>
      <c r="AE13" s="33"/>
      <c r="AF13" s="33"/>
      <c r="AG13" s="33"/>
    </row>
    <row r="14" ht="15.75" customHeight="1" spans="1:33" x14ac:dyDescent="0.25">
      <c r="A14" s="51" t="s">
        <v>44</v>
      </c>
      <c r="B14" s="52"/>
      <c r="C14" s="53">
        <v>1</v>
      </c>
      <c r="D14" s="54">
        <v>2</v>
      </c>
      <c r="E14" s="54">
        <v>3</v>
      </c>
      <c r="F14" s="54">
        <v>4</v>
      </c>
      <c r="G14" s="54">
        <v>5</v>
      </c>
      <c r="H14" s="54">
        <v>6</v>
      </c>
      <c r="I14" s="54">
        <v>7</v>
      </c>
      <c r="J14" s="54">
        <v>8</v>
      </c>
      <c r="K14" s="54">
        <v>9</v>
      </c>
      <c r="L14" s="55">
        <v>10</v>
      </c>
      <c r="M14" s="56" t="s">
        <v>45</v>
      </c>
      <c r="N14" s="56"/>
      <c r="O14" s="33"/>
      <c r="P14" s="57" t="s">
        <v>46</v>
      </c>
      <c r="Q14" s="58"/>
      <c r="R14" s="58"/>
      <c r="S14" s="58"/>
      <c r="T14" s="58"/>
      <c r="U14" s="58"/>
      <c r="V14" s="59"/>
      <c r="W14" s="60"/>
      <c r="X14" s="58"/>
      <c r="Y14" s="58"/>
      <c r="Z14" s="59"/>
      <c r="AA14" s="33"/>
      <c r="AB14" s="33"/>
      <c r="AC14" s="33"/>
      <c r="AD14" s="33"/>
      <c r="AE14" s="33"/>
      <c r="AF14" s="33"/>
      <c r="AG14" s="33"/>
    </row>
    <row r="15" ht="18" customHeight="1" spans="1:33" x14ac:dyDescent="0.25">
      <c r="A15" s="61" t="s">
        <v>47</v>
      </c>
      <c r="B15" s="62">
        <v>1</v>
      </c>
      <c r="C15" s="63">
        <v>40.84</v>
      </c>
      <c r="D15" s="64">
        <v>40.82</v>
      </c>
      <c r="E15" s="64">
        <v>40.84</v>
      </c>
      <c r="F15" s="64">
        <v>40.86</v>
      </c>
      <c r="G15" s="64">
        <v>40.87</v>
      </c>
      <c r="H15" s="64">
        <v>40.84</v>
      </c>
      <c r="I15" s="64">
        <v>40.83</v>
      </c>
      <c r="J15" s="64">
        <v>40.84</v>
      </c>
      <c r="K15" s="64">
        <v>40.86</v>
      </c>
      <c r="L15" s="65">
        <v>40.82</v>
      </c>
      <c r="M15" s="66"/>
      <c r="N15" s="67">
        <f t="shared" ref="N15:N29" si="0">IF(C15&lt;&gt;"",AVERAGE(C15:L15),"")</f>
        <v>40.842</v>
      </c>
      <c r="O15" s="33"/>
      <c r="P15" s="68" t="s">
        <v>48</v>
      </c>
      <c r="Q15" s="35" t="s">
        <v>49</v>
      </c>
      <c r="R15" s="69" t="s">
        <v>50</v>
      </c>
      <c r="S15" s="33"/>
      <c r="T15" s="33"/>
      <c r="U15" s="70" t="s">
        <v>36</v>
      </c>
      <c r="V15" s="71" t="s">
        <v>51</v>
      </c>
      <c r="W15" s="72" t="s">
        <v>52</v>
      </c>
      <c r="X15" s="35" t="s">
        <v>49</v>
      </c>
      <c r="Y15" s="33" t="s">
        <v>53</v>
      </c>
      <c r="Z15" s="73"/>
      <c r="AA15" s="33"/>
      <c r="AB15" s="33"/>
      <c r="AC15" s="33"/>
      <c r="AD15" s="33"/>
      <c r="AE15" s="33"/>
      <c r="AF15" s="33"/>
      <c r="AG15" s="33"/>
    </row>
    <row r="16" ht="18" customHeight="1" spans="1:33" x14ac:dyDescent="0.25">
      <c r="A16" s="74" t="str">
        <f>J5</f>
        <v>현재성</v>
      </c>
      <c r="B16" s="75">
        <v>2</v>
      </c>
      <c r="C16" s="76"/>
      <c r="D16" s="77">
        <v>40.82</v>
      </c>
      <c r="E16" s="77"/>
      <c r="F16" s="77">
        <v>40.86</v>
      </c>
      <c r="G16" s="77">
        <v>40.88</v>
      </c>
      <c r="H16" s="77"/>
      <c r="I16" s="77">
        <v>40.83</v>
      </c>
      <c r="J16" s="77">
        <v>40.84</v>
      </c>
      <c r="K16" s="77">
        <v>40.85</v>
      </c>
      <c r="L16" s="78">
        <v>40.82</v>
      </c>
      <c r="M16" s="79"/>
      <c r="N16" s="80">
        <f>N15</f>
        <v>40.842</v>
      </c>
      <c r="O16" s="33"/>
      <c r="P16" s="81"/>
      <c r="Q16" s="82" t="s">
        <v>49</v>
      </c>
      <c r="R16" s="83" t="str">
        <f>IF(C15&lt;&gt;"",CONCATENATE(TEXT($N$32,"0.00000000")," x ",CHOOSE($F$11,0,V16,V17)),"")</f>
        <v>0.00300000 x 0.5908</v>
      </c>
      <c r="S16" s="33"/>
      <c r="T16" s="33"/>
      <c r="U16" s="84">
        <v>2</v>
      </c>
      <c r="V16" s="85">
        <v>0.8862</v>
      </c>
      <c r="W16" s="72"/>
      <c r="X16" s="82" t="s">
        <v>49</v>
      </c>
      <c r="Y16" s="83" t="str">
        <f>IF(C15&lt;&gt;"",CONCATENATE("100(",TEXT($R$17,"0.0000000"),"/",TEXT($R$35,"0.0000000"),")"),"")</f>
        <v>100(0.0017724/0.0182636)</v>
      </c>
      <c r="Z16" s="73"/>
      <c r="AA16" s="33"/>
      <c r="AB16" s="33"/>
      <c r="AC16" s="33"/>
      <c r="AD16" s="33"/>
      <c r="AE16" s="33"/>
      <c r="AF16" s="33"/>
      <c r="AG16" s="33"/>
    </row>
    <row r="17" ht="18" customHeight="1" spans="1:33" x14ac:dyDescent="0.25">
      <c r="A17" s="86"/>
      <c r="B17" s="87">
        <v>3</v>
      </c>
      <c r="C17" s="76">
        <v>40.84</v>
      </c>
      <c r="D17" s="77">
        <v>40.82</v>
      </c>
      <c r="E17" s="77">
        <v>40.84</v>
      </c>
      <c r="F17" s="77">
        <v>40.86</v>
      </c>
      <c r="G17" s="77">
        <v>40.88</v>
      </c>
      <c r="H17" s="77">
        <v>40.84</v>
      </c>
      <c r="I17" s="77">
        <v>40.83</v>
      </c>
      <c r="J17" s="77">
        <v>40.84</v>
      </c>
      <c r="K17" s="77">
        <v>40.85</v>
      </c>
      <c r="L17" s="78">
        <v>40.82</v>
      </c>
      <c r="M17" s="88"/>
      <c r="N17" s="89">
        <f>N15</f>
        <v>40.842</v>
      </c>
      <c r="O17" s="33"/>
      <c r="P17" s="90"/>
      <c r="Q17" s="91" t="s">
        <v>49</v>
      </c>
      <c r="R17" s="92">
        <f>IF(C15&lt;&gt;"",$N$32*(CHOOSE($F$11,0,V16,V17)),"")</f>
        <v>0.0017723999999999275</v>
      </c>
      <c r="S17" s="92"/>
      <c r="T17" s="93"/>
      <c r="U17" s="94">
        <v>3</v>
      </c>
      <c r="V17" s="95">
        <v>0.5908</v>
      </c>
      <c r="W17" s="96"/>
      <c r="X17" s="91" t="s">
        <v>49</v>
      </c>
      <c r="Y17" s="97">
        <f>IF(C15&lt;&gt;"",100*($R$17/$R$35),"")</f>
        <v>9.704570642665788</v>
      </c>
      <c r="Z17" s="98"/>
      <c r="AA17" s="33"/>
      <c r="AB17" s="33"/>
      <c r="AC17" s="33"/>
      <c r="AD17" s="33"/>
      <c r="AE17" s="33"/>
      <c r="AF17" s="33"/>
      <c r="AG17" s="33"/>
    </row>
    <row r="18" ht="18" customHeight="1" spans="1:33" x14ac:dyDescent="0.25">
      <c r="A18" s="99"/>
      <c r="B18" s="100" t="s">
        <v>54</v>
      </c>
      <c r="C18" s="101">
        <f t="shared" ref="C18:L18" si="1">IF(C15&lt;&gt;"",SUM(C15:C17)/COUNT(C15:C17),"")</f>
        <v>40.84</v>
      </c>
      <c r="D18" s="102">
        <f>C18</f>
        <v>40.82</v>
      </c>
      <c r="E18" s="102">
        <f>C18</f>
        <v>40.84</v>
      </c>
      <c r="F18" s="102">
        <f>C18</f>
        <v>40.86</v>
      </c>
      <c r="G18" s="102">
        <f>C18</f>
        <v>40.876666666666665</v>
      </c>
      <c r="H18" s="102">
        <f>C18</f>
        <v>40.84</v>
      </c>
      <c r="I18" s="102">
        <f>C18</f>
        <v>40.83</v>
      </c>
      <c r="J18" s="102">
        <f>C18</f>
        <v>40.84</v>
      </c>
      <c r="K18" s="102">
        <f>C18</f>
        <v>40.85333333333333</v>
      </c>
      <c r="L18" s="103">
        <f>C18</f>
        <v>40.82</v>
      </c>
      <c r="M18" s="104" t="s">
        <v>55</v>
      </c>
      <c r="N18" s="105">
        <f>N15</f>
        <v>40.842</v>
      </c>
      <c r="O18" s="33"/>
      <c r="P18" s="57" t="s">
        <v>56</v>
      </c>
      <c r="Q18" s="58"/>
      <c r="R18" s="58"/>
      <c r="S18" s="58"/>
      <c r="T18" s="58"/>
      <c r="U18" s="58"/>
      <c r="V18" s="59"/>
      <c r="W18" s="57"/>
      <c r="X18" s="58"/>
      <c r="Y18" s="58"/>
      <c r="Z18" s="59"/>
      <c r="AA18" s="33"/>
      <c r="AB18" s="33"/>
      <c r="AC18" s="33"/>
      <c r="AD18" s="33"/>
      <c r="AE18" s="33"/>
      <c r="AF18" s="33"/>
      <c r="AG18" s="33"/>
    </row>
    <row r="19" ht="18" customHeight="1" spans="1:33" x14ac:dyDescent="0.25">
      <c r="A19" s="106"/>
      <c r="B19" s="100" t="s">
        <v>57</v>
      </c>
      <c r="C19" s="107">
        <f t="shared" ref="C19:L19" si="2">IF(C15&lt;&gt;"",MAX(C15:C17)-MIN(C15:C17),"")</f>
      </c>
      <c r="D19" s="108">
        <f>C19</f>
      </c>
      <c r="E19" s="108">
        <f>C19</f>
      </c>
      <c r="F19" s="108">
        <f>C19</f>
      </c>
      <c r="G19" s="108">
        <f>C19</f>
        <v>0.010000000000005116</v>
      </c>
      <c r="H19" s="108">
        <f>C19</f>
      </c>
      <c r="I19" s="108">
        <f>C19</f>
      </c>
      <c r="J19" s="108">
        <f>C19</f>
      </c>
      <c r="K19" s="108">
        <f>C19</f>
        <v>0.00999999999999801</v>
      </c>
      <c r="L19" s="109">
        <f>C19</f>
      </c>
      <c r="M19" s="110" t="s">
        <v>58</v>
      </c>
      <c r="N19" s="111">
        <f>N15</f>
        <v>0.0020000000000003127</v>
      </c>
      <c r="O19" s="33"/>
      <c r="P19" s="68" t="s">
        <v>59</v>
      </c>
      <c r="Q19" s="35" t="s">
        <v>49</v>
      </c>
      <c r="R19" s="33" t="s">
        <v>60</v>
      </c>
      <c r="S19" s="33"/>
      <c r="T19" s="33"/>
      <c r="U19" s="33"/>
      <c r="V19" s="73"/>
      <c r="W19" s="72" t="s">
        <v>61</v>
      </c>
      <c r="X19" s="35" t="s">
        <v>49</v>
      </c>
      <c r="Y19" s="33" t="s">
        <v>62</v>
      </c>
      <c r="Z19" s="73"/>
      <c r="AA19" s="33"/>
      <c r="AB19" s="33"/>
      <c r="AC19" s="33"/>
      <c r="AD19" s="33"/>
      <c r="AE19" s="33"/>
      <c r="AF19" s="33"/>
      <c r="AG19" s="33"/>
    </row>
    <row r="20" ht="18" customHeight="1" spans="1:33" x14ac:dyDescent="0.25">
      <c r="A20" s="61" t="s">
        <v>63</v>
      </c>
      <c r="B20" s="62">
        <v>1</v>
      </c>
      <c r="C20" s="63">
        <v>40.84</v>
      </c>
      <c r="D20" s="64">
        <v>40.83</v>
      </c>
      <c r="E20" s="64">
        <v>40.84</v>
      </c>
      <c r="F20" s="64">
        <v>40.85</v>
      </c>
      <c r="G20" s="64">
        <v>40.87</v>
      </c>
      <c r="H20" s="64">
        <v>40.84</v>
      </c>
      <c r="I20" s="64">
        <v>40.82</v>
      </c>
      <c r="J20" s="64">
        <v>40.83</v>
      </c>
      <c r="K20" s="64">
        <v>40.86</v>
      </c>
      <c r="L20" s="65">
        <v>40.83</v>
      </c>
      <c r="M20" s="66"/>
      <c r="N20" s="67">
        <f>N15</f>
        <v>40.841</v>
      </c>
      <c r="O20" s="33"/>
      <c r="P20" s="81"/>
      <c r="Q20" s="82" t="s">
        <v>49</v>
      </c>
      <c r="R20" s="83" t="str">
        <f>IF(C15&lt;&gt;"",CONCATENATE("{(",TEXT($N$33,"0.0000000")," x ",CHOOSE($J$11,0,U23,V23),")^2 - (",TEXT($R$17,"0.0000000")," ^2/(",$H$11," x ",$F$11,"))}^1/2"),"")</f>
        <v>{(0.0006667 x 0.5231)^2 - (0.0017724 ^2/(10 x 3))}^1/2</v>
      </c>
      <c r="S20" s="33"/>
      <c r="T20" s="33"/>
      <c r="U20" s="33"/>
      <c r="V20" s="73"/>
      <c r="W20" s="68"/>
      <c r="X20" s="82" t="s">
        <v>49</v>
      </c>
      <c r="Y20" s="83" t="str">
        <f>IF(C15&lt;&gt;"",CONCATENATE("100(",TEXT($R$21,"0.0000000"),"/",TEXT($R$35,"0.0000000"),")"),"")</f>
        <v>100(0.0001300/0.0182636)</v>
      </c>
      <c r="Z20" s="73"/>
      <c r="AA20" s="33"/>
      <c r="AB20" s="33"/>
      <c r="AC20" s="33"/>
      <c r="AD20" s="33"/>
      <c r="AE20" s="33"/>
      <c r="AF20" s="33"/>
      <c r="AG20" s="33"/>
    </row>
    <row r="21" ht="18" customHeight="1" spans="1:33" x14ac:dyDescent="0.25">
      <c r="A21" s="74" t="str">
        <f>J7</f>
        <v>지영준</v>
      </c>
      <c r="B21" s="75">
        <v>2</v>
      </c>
      <c r="C21" s="76">
        <v>40.85</v>
      </c>
      <c r="D21" s="77">
        <v>40.83</v>
      </c>
      <c r="E21" s="77">
        <v>40.84</v>
      </c>
      <c r="F21" s="77">
        <v>40.85</v>
      </c>
      <c r="G21" s="77">
        <v>40.87</v>
      </c>
      <c r="H21" s="77">
        <v>40.84</v>
      </c>
      <c r="I21" s="77">
        <v>40.83</v>
      </c>
      <c r="J21" s="77">
        <v>40.84</v>
      </c>
      <c r="K21" s="77">
        <v>40.85</v>
      </c>
      <c r="L21" s="78">
        <v>40.82</v>
      </c>
      <c r="M21" s="79"/>
      <c r="N21" s="80">
        <f>N15</f>
        <v>40.842</v>
      </c>
      <c r="O21" s="33"/>
      <c r="P21" s="81"/>
      <c r="Q21" s="35" t="s">
        <v>49</v>
      </c>
      <c r="R21" s="112">
        <f>IF(C15="","",IF(($N$33*CHOOSE($J$11,0,U23,V23))^2-$R$17^2/($H$11*$F$11)&lt;0,0,(($N$33*CHOOSE($J$11,0,U23,V23))^2-$R$17^2/($H$11*$F$11))^(1/2)))</f>
        <v>0.00013000594515440915</v>
      </c>
      <c r="S21" s="112"/>
      <c r="T21" s="33"/>
      <c r="U21" s="33"/>
      <c r="V21" s="73"/>
      <c r="W21" s="68"/>
      <c r="X21" s="35" t="s">
        <v>49</v>
      </c>
      <c r="Y21" s="113">
        <f>IF(C15&lt;&gt;"",100*($R$21/$R$35),"")</f>
        <v>0.7118324750155434</v>
      </c>
      <c r="Z21" s="73"/>
      <c r="AA21" s="33"/>
      <c r="AB21" s="33"/>
      <c r="AC21" s="33"/>
      <c r="AD21" s="33"/>
      <c r="AE21" s="33"/>
      <c r="AF21" s="33"/>
      <c r="AG21" s="33"/>
    </row>
    <row r="22" ht="18" customHeight="1" spans="1:33" x14ac:dyDescent="0.25">
      <c r="A22" s="86"/>
      <c r="B22" s="87">
        <v>3</v>
      </c>
      <c r="C22" s="76">
        <v>40.85</v>
      </c>
      <c r="D22" s="77">
        <v>40.83</v>
      </c>
      <c r="E22" s="77">
        <v>40.84</v>
      </c>
      <c r="F22" s="77">
        <v>40.85</v>
      </c>
      <c r="G22" s="77">
        <v>40.87</v>
      </c>
      <c r="H22" s="77">
        <v>40.85</v>
      </c>
      <c r="I22" s="77">
        <v>40.82</v>
      </c>
      <c r="J22" s="77">
        <v>40.84</v>
      </c>
      <c r="K22" s="77">
        <v>40.85</v>
      </c>
      <c r="L22" s="78">
        <v>40.82</v>
      </c>
      <c r="M22" s="88"/>
      <c r="N22" s="89">
        <f>N15</f>
        <v>40.842</v>
      </c>
      <c r="O22" s="33"/>
      <c r="P22" s="81"/>
      <c r="Q22" s="35"/>
      <c r="R22" s="114"/>
      <c r="S22" s="33"/>
      <c r="T22" s="115" t="s">
        <v>34</v>
      </c>
      <c r="U22" s="116">
        <v>2</v>
      </c>
      <c r="V22" s="116">
        <v>3</v>
      </c>
      <c r="W22" s="90"/>
      <c r="X22" s="93"/>
      <c r="Y22" s="93"/>
      <c r="Z22" s="98"/>
      <c r="AA22" s="33"/>
      <c r="AB22" s="33"/>
      <c r="AC22" s="33"/>
      <c r="AD22" s="33"/>
      <c r="AE22" s="33"/>
      <c r="AF22" s="33"/>
      <c r="AG22" s="33"/>
    </row>
    <row r="23" ht="18" customHeight="1" spans="1:33" x14ac:dyDescent="0.25">
      <c r="A23" s="99"/>
      <c r="B23" s="100" t="s">
        <v>54</v>
      </c>
      <c r="C23" s="101">
        <f t="shared" ref="C23:L23" si="3">IF(C20&lt;&gt;"",SUM(C20:C22)/COUNT(C20:C22),"")</f>
        <v>40.846666666666664</v>
      </c>
      <c r="D23" s="102">
        <f>C23</f>
        <v>40.83</v>
      </c>
      <c r="E23" s="102">
        <f>C23</f>
        <v>40.84</v>
      </c>
      <c r="F23" s="102">
        <f>C23</f>
        <v>40.85</v>
      </c>
      <c r="G23" s="102">
        <f>C23</f>
        <v>40.87</v>
      </c>
      <c r="H23" s="102">
        <f>C23</f>
        <v>40.843333333333334</v>
      </c>
      <c r="I23" s="102">
        <f>C23</f>
        <v>40.82333333333333</v>
      </c>
      <c r="J23" s="102">
        <f>C23</f>
        <v>40.836666666666666</v>
      </c>
      <c r="K23" s="102">
        <f>C23</f>
        <v>40.85333333333333</v>
      </c>
      <c r="L23" s="103">
        <f>C23</f>
        <v>40.82333333333333</v>
      </c>
      <c r="M23" s="104" t="s">
        <v>64</v>
      </c>
      <c r="N23" s="105">
        <f>N15</f>
        <v>40.84166666666667</v>
      </c>
      <c r="O23" s="33"/>
      <c r="P23" s="90" t="s">
        <v>65</v>
      </c>
      <c r="Q23" s="93"/>
      <c r="R23" s="93"/>
      <c r="S23" s="93"/>
      <c r="T23" s="117" t="s">
        <v>66</v>
      </c>
      <c r="U23" s="117">
        <v>0.7071</v>
      </c>
      <c r="V23" s="118">
        <v>0.5231</v>
      </c>
      <c r="W23" s="60"/>
      <c r="X23" s="58"/>
      <c r="Y23" s="58"/>
      <c r="Z23" s="59"/>
      <c r="AA23" s="33"/>
      <c r="AB23" s="33"/>
      <c r="AC23" s="33"/>
      <c r="AD23" s="33"/>
      <c r="AE23" s="33"/>
      <c r="AF23" s="33"/>
      <c r="AG23" s="33"/>
    </row>
    <row r="24" ht="18" customHeight="1" spans="1:33" x14ac:dyDescent="0.25">
      <c r="A24" s="99"/>
      <c r="B24" s="100" t="s">
        <v>57</v>
      </c>
      <c r="C24" s="107">
        <f t="shared" ref="C24:L24" si="4">IF(C20&lt;&gt;"",MAX(C20:C22)-MIN(C20:C22),"")</f>
        <v>0.00999999999999801</v>
      </c>
      <c r="D24" s="108">
        <f>C24</f>
      </c>
      <c r="E24" s="108">
        <f>C24</f>
      </c>
      <c r="F24" s="108">
        <f>C24</f>
      </c>
      <c r="G24" s="108">
        <f>C24</f>
      </c>
      <c r="H24" s="108">
        <f>C24</f>
        <v>0.00999999999999801</v>
      </c>
      <c r="I24" s="108">
        <f>C24</f>
        <v>0.00999999999999801</v>
      </c>
      <c r="J24" s="108">
        <f>C24</f>
        <v>0.010000000000005116</v>
      </c>
      <c r="K24" s="108">
        <f>C24</f>
        <v>0.00999999999999801</v>
      </c>
      <c r="L24" s="109">
        <f>C24</f>
        <v>0.00999999999999801</v>
      </c>
      <c r="M24" s="104" t="s">
        <v>67</v>
      </c>
      <c r="N24" s="105">
        <f>N15</f>
        <v>0.005999999999999517</v>
      </c>
      <c r="O24" s="33"/>
      <c r="P24" s="57" t="s">
        <v>68</v>
      </c>
      <c r="Q24" s="58"/>
      <c r="R24" s="58"/>
      <c r="S24" s="58"/>
      <c r="T24" s="58"/>
      <c r="U24" s="58"/>
      <c r="V24" s="59"/>
      <c r="W24" s="72" t="s">
        <v>69</v>
      </c>
      <c r="X24" s="35" t="s">
        <v>49</v>
      </c>
      <c r="Y24" s="33" t="s">
        <v>70</v>
      </c>
      <c r="Z24" s="73"/>
      <c r="AA24" s="33"/>
      <c r="AB24" s="33"/>
      <c r="AC24" s="33"/>
      <c r="AD24" s="33"/>
      <c r="AE24" s="33"/>
      <c r="AF24" s="33"/>
      <c r="AG24" s="33"/>
    </row>
    <row r="25" ht="18" customHeight="1" spans="1:33" x14ac:dyDescent="0.25">
      <c r="A25" s="61" t="s">
        <v>71</v>
      </c>
      <c r="B25" s="62">
        <v>1</v>
      </c>
      <c r="C25" s="63">
        <v>40.84</v>
      </c>
      <c r="D25" s="64">
        <v>40.82</v>
      </c>
      <c r="E25" s="64">
        <v>40.84</v>
      </c>
      <c r="F25" s="64">
        <v>40.86</v>
      </c>
      <c r="G25" s="64">
        <v>40.88</v>
      </c>
      <c r="H25" s="64">
        <v>40.85</v>
      </c>
      <c r="I25" s="64">
        <v>40.82</v>
      </c>
      <c r="J25" s="64">
        <v>40.84</v>
      </c>
      <c r="K25" s="64">
        <v>40.85</v>
      </c>
      <c r="L25" s="65">
        <v>40.81</v>
      </c>
      <c r="M25" s="66"/>
      <c r="N25" s="67">
        <f>N15</f>
        <v>40.841</v>
      </c>
      <c r="O25" s="33"/>
      <c r="P25" s="68" t="s">
        <v>72</v>
      </c>
      <c r="Q25" s="35" t="s">
        <v>49</v>
      </c>
      <c r="R25" s="33" t="s">
        <v>73</v>
      </c>
      <c r="S25" s="33"/>
      <c r="T25" s="33"/>
      <c r="U25" s="70" t="s">
        <v>37</v>
      </c>
      <c r="V25" s="71" t="s">
        <v>74</v>
      </c>
      <c r="W25" s="68"/>
      <c r="X25" s="82" t="s">
        <v>49</v>
      </c>
      <c r="Y25" s="83" t="str">
        <f>IF(C15&lt;&gt;"",CONCATENATE("100(",TEXT($R$27,"0.0000000"),"/",TEXT($R$35,"0.0000000"),")"),"")</f>
        <v>100(0.0017772/0.0182636)</v>
      </c>
      <c r="Z25" s="73"/>
      <c r="AA25" s="33"/>
      <c r="AB25" s="33"/>
      <c r="AC25" s="33"/>
      <c r="AD25" s="33"/>
      <c r="AE25" s="33"/>
      <c r="AF25" s="33"/>
      <c r="AG25" s="33"/>
    </row>
    <row r="26" ht="18" customHeight="1" spans="1:33" x14ac:dyDescent="0.25">
      <c r="A26" s="74" t="str">
        <f>J9</f>
        <v>박상윤</v>
      </c>
      <c r="B26" s="75">
        <v>2</v>
      </c>
      <c r="C26" s="76">
        <v>40.84</v>
      </c>
      <c r="D26" s="77">
        <v>40.82</v>
      </c>
      <c r="E26" s="77">
        <v>40.84</v>
      </c>
      <c r="F26" s="77">
        <v>40.86</v>
      </c>
      <c r="G26" s="77">
        <v>40.88</v>
      </c>
      <c r="H26" s="77">
        <v>40.85</v>
      </c>
      <c r="I26" s="77">
        <v>40.82</v>
      </c>
      <c r="J26" s="77">
        <v>40.84</v>
      </c>
      <c r="K26" s="77">
        <v>40.85</v>
      </c>
      <c r="L26" s="78">
        <v>40.81</v>
      </c>
      <c r="M26" s="79"/>
      <c r="N26" s="80">
        <f>N15</f>
        <v>40.841</v>
      </c>
      <c r="O26" s="33"/>
      <c r="P26" s="81"/>
      <c r="Q26" s="82" t="s">
        <v>49</v>
      </c>
      <c r="R26" s="119" t="str">
        <f>IF(C15&lt;&gt;"",CONCATENATE("{(",TEXT($R$17,"0.0000000"),"^2 + ",TEXT($R$21,"0.0000000"),"^2)}^1/2"),"")</f>
        <v>{(0.0017724^2 + 0.0001300^2)}^1/2</v>
      </c>
      <c r="S26" s="33"/>
      <c r="T26" s="33"/>
      <c r="U26" s="84">
        <v>2</v>
      </c>
      <c r="V26" s="120">
        <v>0.7071</v>
      </c>
      <c r="W26" s="68"/>
      <c r="X26" s="35" t="s">
        <v>49</v>
      </c>
      <c r="Y26" s="121">
        <f>IF(C15&lt;&gt;"",100*($R$27/$R$35),"")</f>
        <v>9.730642159229646</v>
      </c>
      <c r="Z26" s="73"/>
      <c r="AA26" s="33"/>
      <c r="AB26" s="33"/>
      <c r="AC26" s="33"/>
      <c r="AD26" s="33"/>
      <c r="AE26" s="33"/>
      <c r="AF26" s="33"/>
      <c r="AG26" s="33"/>
    </row>
    <row r="27" ht="18" customHeight="1" spans="1:33" x14ac:dyDescent="0.25">
      <c r="A27" s="86"/>
      <c r="B27" s="87">
        <v>3</v>
      </c>
      <c r="C27" s="76">
        <v>40.84</v>
      </c>
      <c r="D27" s="77">
        <v>40.83</v>
      </c>
      <c r="E27" s="77">
        <v>40.84</v>
      </c>
      <c r="F27" s="77">
        <v>40.86</v>
      </c>
      <c r="G27" s="77">
        <v>40.88</v>
      </c>
      <c r="H27" s="77">
        <v>40.85</v>
      </c>
      <c r="I27" s="77">
        <v>40.82</v>
      </c>
      <c r="J27" s="77">
        <v>40.84</v>
      </c>
      <c r="K27" s="77">
        <v>40.85</v>
      </c>
      <c r="L27" s="78">
        <v>40.81</v>
      </c>
      <c r="M27" s="88"/>
      <c r="N27" s="89">
        <f>N15</f>
        <v>40.842</v>
      </c>
      <c r="O27" s="33"/>
      <c r="P27" s="90"/>
      <c r="Q27" s="91" t="s">
        <v>49</v>
      </c>
      <c r="R27" s="122">
        <f>IF(C15&lt;&gt;"",($R$17^2+$R$21^2)^(1/2),"")</f>
        <v>0.0017771615868500067</v>
      </c>
      <c r="S27" s="122"/>
      <c r="T27" s="93"/>
      <c r="U27" s="84">
        <v>3</v>
      </c>
      <c r="V27" s="120">
        <v>0.5231</v>
      </c>
      <c r="W27" s="123" t="str">
        <f>IF(C16&lt;&gt;"",IF(Y26&lt;10,"Gage system O.K",IF(Y26&lt;30,"Gage system may be acceptable","Gage system needs improvement")),"")</f>
        <v>Gage system O.K</v>
      </c>
      <c r="X27" s="124"/>
      <c r="Y27" s="125"/>
      <c r="Z27" s="126"/>
      <c r="AA27" s="33"/>
      <c r="AB27" s="33"/>
      <c r="AC27" s="33"/>
      <c r="AD27" s="33"/>
      <c r="AE27" s="33"/>
      <c r="AF27" s="33"/>
      <c r="AG27" s="33"/>
    </row>
    <row r="28" ht="18" customHeight="1" spans="1:33" x14ac:dyDescent="0.25">
      <c r="A28" s="99"/>
      <c r="B28" s="100" t="s">
        <v>54</v>
      </c>
      <c r="C28" s="101">
        <f t="shared" ref="C28:L28" si="5">IF(C25&lt;&gt;"",SUM(C25:C27)/COUNT(C25:C27),"")</f>
        <v>40.84</v>
      </c>
      <c r="D28" s="102">
        <f>C28</f>
        <v>40.82333333333333</v>
      </c>
      <c r="E28" s="102">
        <f>C28</f>
        <v>40.84</v>
      </c>
      <c r="F28" s="102">
        <f>C28</f>
        <v>40.86</v>
      </c>
      <c r="G28" s="102">
        <f>C28</f>
        <v>40.88</v>
      </c>
      <c r="H28" s="102">
        <f>C28</f>
        <v>40.85</v>
      </c>
      <c r="I28" s="102">
        <f>C28</f>
        <v>40.82</v>
      </c>
      <c r="J28" s="102">
        <f>C28</f>
        <v>40.84</v>
      </c>
      <c r="K28" s="102">
        <f>C28</f>
        <v>40.85</v>
      </c>
      <c r="L28" s="103">
        <f>C28</f>
        <v>40.81</v>
      </c>
      <c r="M28" s="127" t="s">
        <v>75</v>
      </c>
      <c r="N28" s="128">
        <f>N15</f>
        <v>40.84133333333334</v>
      </c>
      <c r="O28" s="33"/>
      <c r="P28" s="57" t="s">
        <v>76</v>
      </c>
      <c r="Q28" s="58"/>
      <c r="R28" s="58"/>
      <c r="S28" s="58"/>
      <c r="T28" s="58"/>
      <c r="U28" s="84">
        <v>4</v>
      </c>
      <c r="V28" s="120">
        <v>0.4467</v>
      </c>
      <c r="W28" s="60"/>
      <c r="X28" s="58"/>
      <c r="Y28" s="58"/>
      <c r="Z28" s="59"/>
      <c r="AA28" s="33"/>
      <c r="AB28" s="33"/>
      <c r="AC28" s="33"/>
      <c r="AD28" s="33"/>
      <c r="AE28" s="33"/>
      <c r="AF28" s="33"/>
      <c r="AG28" s="33"/>
    </row>
    <row r="29" ht="18" customHeight="1" spans="1:33" x14ac:dyDescent="0.25">
      <c r="A29" s="106"/>
      <c r="B29" s="100" t="s">
        <v>57</v>
      </c>
      <c r="C29" s="107">
        <f t="shared" ref="C29:L29" si="6">IF(C25&lt;&gt;"",MAX(C25:C27)-MIN(C25:C27),"")</f>
      </c>
      <c r="D29" s="108">
        <f>C29</f>
        <v>0.00999999999999801</v>
      </c>
      <c r="E29" s="108">
        <f>C29</f>
      </c>
      <c r="F29" s="108">
        <f>C29</f>
      </c>
      <c r="G29" s="108">
        <f>C29</f>
      </c>
      <c r="H29" s="108">
        <f>C29</f>
      </c>
      <c r="I29" s="108">
        <f>C29</f>
      </c>
      <c r="J29" s="108">
        <f>C29</f>
      </c>
      <c r="K29" s="108">
        <f>C29</f>
      </c>
      <c r="L29" s="109">
        <f>C29</f>
      </c>
      <c r="M29" s="129" t="s">
        <v>77</v>
      </c>
      <c r="N29" s="130">
        <f>N15</f>
        <v>0.000999999999999801</v>
      </c>
      <c r="O29" s="33"/>
      <c r="P29" s="68" t="s">
        <v>78</v>
      </c>
      <c r="Q29" s="35" t="s">
        <v>49</v>
      </c>
      <c r="R29" s="33" t="s">
        <v>79</v>
      </c>
      <c r="S29" s="33"/>
      <c r="T29" s="33"/>
      <c r="U29" s="84">
        <v>5</v>
      </c>
      <c r="V29" s="120">
        <v>0.403</v>
      </c>
      <c r="W29" s="72" t="s">
        <v>80</v>
      </c>
      <c r="X29" s="35" t="s">
        <v>49</v>
      </c>
      <c r="Y29" s="33" t="s">
        <v>81</v>
      </c>
      <c r="Z29" s="73"/>
      <c r="AA29" s="33"/>
      <c r="AB29" s="33"/>
      <c r="AC29" s="33"/>
      <c r="AD29" s="33"/>
      <c r="AE29" s="33"/>
      <c r="AF29" s="33"/>
      <c r="AG29" s="33"/>
    </row>
    <row r="30" ht="18" customHeight="1" spans="1:33" x14ac:dyDescent="0.25">
      <c r="A30" s="131"/>
      <c r="B30" s="132"/>
      <c r="C30" s="133"/>
      <c r="D30" s="134"/>
      <c r="E30" s="134"/>
      <c r="F30" s="134"/>
      <c r="G30" s="134"/>
      <c r="H30" s="134"/>
      <c r="I30" s="134"/>
      <c r="J30" s="134"/>
      <c r="K30" s="134"/>
      <c r="L30" s="135"/>
      <c r="M30" s="136" t="s">
        <v>82</v>
      </c>
      <c r="N30" s="67">
        <f>IF(C15&lt;&gt;"",AVERAGE(C31:L31),"")</f>
        <v>40.84166666666667</v>
      </c>
      <c r="O30" s="33"/>
      <c r="P30" s="68"/>
      <c r="Q30" s="82" t="s">
        <v>49</v>
      </c>
      <c r="R30" s="83" t="str">
        <f>IF(C15&lt;&gt;"",CONCATENATE(TEXT($N$31,"0.000")," x ",CHOOSE($H$11,0,V26,V27,V28,V29,V30,V31,V32,V33,V34)),"")</f>
        <v>0.058 x 0.3146</v>
      </c>
      <c r="S30" s="33"/>
      <c r="T30" s="33"/>
      <c r="U30" s="84">
        <v>6</v>
      </c>
      <c r="V30" s="120">
        <v>0.3742</v>
      </c>
      <c r="W30" s="137" t="s">
        <v>83</v>
      </c>
      <c r="X30" s="82" t="s">
        <v>49</v>
      </c>
      <c r="Y30" s="83" t="str">
        <f>IF(C15&lt;&gt;"",CONCATENATE("100(",TEXT($R$31,"0.000"),"/",TEXT($R$35,"0.000"),")"),"")</f>
        <v>100(0.018/0.018)</v>
      </c>
      <c r="Z30" s="73"/>
      <c r="AA30" s="33"/>
      <c r="AB30" s="33"/>
      <c r="AC30" s="33"/>
      <c r="AD30" s="33"/>
      <c r="AE30" s="33"/>
      <c r="AF30" s="33"/>
      <c r="AG30" s="33"/>
    </row>
    <row r="31" ht="18" customHeight="1" spans="1:33" x14ac:dyDescent="0.25">
      <c r="A31" s="138" t="s">
        <v>84</v>
      </c>
      <c r="B31" s="98"/>
      <c r="C31" s="139">
        <f t="shared" ref="C31:L31" si="7">IF(C18&lt;&gt;"",SUM(C18,C23,C28)/COUNT(C18,C23,C28),"")</f>
        <v>40.842222222222226</v>
      </c>
      <c r="D31" s="140">
        <f>C31</f>
        <v>40.824444444444445</v>
      </c>
      <c r="E31" s="140">
        <f>C31</f>
        <v>40.84</v>
      </c>
      <c r="F31" s="140">
        <f>C31</f>
        <v>40.85666666666667</v>
      </c>
      <c r="G31" s="140">
        <f>C31</f>
        <v>40.87555555555556</v>
      </c>
      <c r="H31" s="140">
        <f>C31</f>
        <v>40.84444444444444</v>
      </c>
      <c r="I31" s="140">
        <f>C31</f>
        <v>40.824444444444445</v>
      </c>
      <c r="J31" s="140">
        <f>C31</f>
        <v>40.838888888888896</v>
      </c>
      <c r="K31" s="140">
        <f>C31</f>
        <v>40.852222222222224</v>
      </c>
      <c r="L31" s="141">
        <f>C31</f>
        <v>40.81777777777778</v>
      </c>
      <c r="M31" s="142" t="s">
        <v>85</v>
      </c>
      <c r="N31" s="143">
        <f>IF(C15&lt;&gt;"",MAX(C31:L31)-MIN(C31:L31),"")</f>
        <v>0.057777777777779704</v>
      </c>
      <c r="O31" s="33"/>
      <c r="P31" s="142"/>
      <c r="Q31" s="91" t="s">
        <v>49</v>
      </c>
      <c r="R31" s="122">
        <f>IF(C15&lt;&gt;"",$N$31*CHOOSE($H$11,0,V26,V27,V28,V29,V30,V31,V32,V33,V34),"")</f>
        <v>0.018176888888889495</v>
      </c>
      <c r="S31" s="122"/>
      <c r="T31" s="93"/>
      <c r="U31" s="84">
        <v>7</v>
      </c>
      <c r="V31" s="120">
        <v>0.3534</v>
      </c>
      <c r="W31" s="68"/>
      <c r="X31" s="35" t="s">
        <v>49</v>
      </c>
      <c r="Y31" s="121">
        <f>IF(C15&lt;&gt;"",100*($R$31/$R$35),"")</f>
        <v>99.52544701315851</v>
      </c>
      <c r="Z31" s="73"/>
      <c r="AA31" s="33"/>
      <c r="AB31" s="33"/>
      <c r="AC31" s="33"/>
      <c r="AD31" s="33"/>
      <c r="AE31" s="33"/>
      <c r="AF31" s="33"/>
      <c r="AG31" s="33"/>
    </row>
    <row r="32" ht="18" customHeight="1" spans="1:33" x14ac:dyDescent="0.25">
      <c r="A32" s="138">
        <v>1</v>
      </c>
      <c r="B32" s="93" t="s">
        <v>86</v>
      </c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144" t="s">
        <v>87</v>
      </c>
      <c r="N32" s="143">
        <f>IF(C15&lt;&gt;"",SUM(N19,N24,N29)/COUNT(C15,C20,C25),"")</f>
        <v>0.0029999999999998773</v>
      </c>
      <c r="O32" s="33"/>
      <c r="P32" s="57" t="s">
        <v>88</v>
      </c>
      <c r="Q32" s="58"/>
      <c r="R32" s="58"/>
      <c r="S32" s="58"/>
      <c r="T32" s="58"/>
      <c r="U32" s="84">
        <v>8</v>
      </c>
      <c r="V32" s="120">
        <v>0.3375</v>
      </c>
      <c r="W32" s="90"/>
      <c r="X32" s="93"/>
      <c r="Y32" s="93"/>
      <c r="Z32" s="98"/>
      <c r="AA32" s="33"/>
      <c r="AB32" s="33"/>
      <c r="AC32" s="33"/>
      <c r="AD32" s="33"/>
      <c r="AE32" s="33"/>
      <c r="AF32" s="33"/>
      <c r="AG32" s="33"/>
    </row>
    <row r="33" ht="18" customHeight="1" spans="1:33" x14ac:dyDescent="0.25">
      <c r="A33" s="145">
        <f>A32+1</f>
        <v>2</v>
      </c>
      <c r="B33" s="146" t="s">
        <v>89</v>
      </c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8" t="s">
        <v>90</v>
      </c>
      <c r="N33" s="149">
        <f>IF(C15&lt;&gt;"",MAX(N18,N23,N28)-MIN(N18,N23,N28),"")</f>
        <v>0.000666666666660376</v>
      </c>
      <c r="O33" s="33"/>
      <c r="P33" s="68" t="s">
        <v>91</v>
      </c>
      <c r="Q33" s="35" t="s">
        <v>49</v>
      </c>
      <c r="R33" s="33" t="s">
        <v>92</v>
      </c>
      <c r="S33" s="33"/>
      <c r="T33" s="33"/>
      <c r="U33" s="84">
        <v>9</v>
      </c>
      <c r="V33" s="120">
        <v>0.3249</v>
      </c>
      <c r="W33" s="72" t="s">
        <v>93</v>
      </c>
      <c r="X33" s="35" t="s">
        <v>49</v>
      </c>
      <c r="Y33" s="33" t="s">
        <v>94</v>
      </c>
      <c r="Z33" s="73"/>
      <c r="AA33" s="33"/>
      <c r="AB33" s="33"/>
      <c r="AC33" s="33"/>
      <c r="AD33" s="33"/>
      <c r="AE33" s="33"/>
      <c r="AF33" s="33"/>
      <c r="AG33" s="33"/>
    </row>
    <row r="34" ht="18" customHeight="1" spans="1:33" x14ac:dyDescent="0.25">
      <c r="A34" s="145">
        <f>A33+1</f>
        <v>3</v>
      </c>
      <c r="B34" s="93" t="s">
        <v>95</v>
      </c>
      <c r="C34" s="147"/>
      <c r="D34" s="147"/>
      <c r="E34" s="150"/>
      <c r="F34" s="151"/>
      <c r="G34" s="152"/>
      <c r="H34" s="152"/>
      <c r="I34" s="152"/>
      <c r="J34" s="151"/>
      <c r="K34" s="147"/>
      <c r="L34" s="147"/>
      <c r="M34" s="153" t="s">
        <v>96</v>
      </c>
      <c r="N34" s="149">
        <f>IF(C15&lt;&gt;"",IF(F11=3,2.58*N32,3.27*N32),"")</f>
        <v>0.007739999999999684</v>
      </c>
      <c r="O34" s="33"/>
      <c r="P34" s="68"/>
      <c r="Q34" s="82" t="s">
        <v>49</v>
      </c>
      <c r="R34" s="154" t="str">
        <f>IF(C15&lt;&gt;"",CONCATENATE("{(",TEXT($R$27,"0.0000000"),"^2 + ",TEXT($R$31,"0.0000000"),"^2)}^1/2"),"")</f>
        <v>{(0.0017772^2 + 0.0181769^2)}^1/2</v>
      </c>
      <c r="S34" s="33"/>
      <c r="T34" s="33"/>
      <c r="U34" s="94">
        <v>10</v>
      </c>
      <c r="V34" s="143">
        <v>0.3146</v>
      </c>
      <c r="W34" s="155" t="s">
        <v>97</v>
      </c>
      <c r="X34" s="82" t="s">
        <v>49</v>
      </c>
      <c r="Y34" s="83" t="str">
        <f>IF(C15&lt;&gt;"",CONCATENATE("1.41(",TEXT($R$31,"0.000"),"/",TEXT($R$27,"0.000"),")"),"")</f>
        <v>1.41(0.018/0.002)</v>
      </c>
      <c r="Z34" s="73"/>
      <c r="AA34" s="33"/>
      <c r="AB34" s="33"/>
      <c r="AC34" s="33"/>
      <c r="AD34" s="33"/>
      <c r="AE34" s="33"/>
      <c r="AF34" s="33"/>
      <c r="AG34" s="33"/>
    </row>
    <row r="35" ht="18" customHeight="1" spans="1:33" x14ac:dyDescent="0.25">
      <c r="A35" s="156" t="s">
        <v>98</v>
      </c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33"/>
      <c r="P35" s="68"/>
      <c r="Q35" s="35" t="s">
        <v>49</v>
      </c>
      <c r="R35" s="157">
        <f>IF(C15&lt;&gt;"",($R$27^2+$R$31^2)^(1/2),"")</f>
        <v>0.018263559154360072</v>
      </c>
      <c r="S35" s="157"/>
      <c r="T35" s="33"/>
      <c r="U35" s="33"/>
      <c r="V35" s="59"/>
      <c r="W35" s="158" t="s">
        <v>99</v>
      </c>
      <c r="X35" s="35" t="s">
        <v>49</v>
      </c>
      <c r="Y35" s="159">
        <f>IF(C15&lt;&gt;"",TRUNC(1.41*($R$31/$R$27)),"")</f>
        <v>14</v>
      </c>
      <c r="Z35" s="73"/>
      <c r="AA35" s="33"/>
      <c r="AB35" s="33"/>
      <c r="AC35" s="33"/>
      <c r="AD35" s="33"/>
      <c r="AE35" s="33"/>
      <c r="AF35" s="33"/>
      <c r="AG35" s="33"/>
    </row>
    <row r="36" ht="18" customHeight="1" spans="1:33" x14ac:dyDescent="0.25">
      <c r="A36" s="160" t="s">
        <v>100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73"/>
      <c r="O36" s="33"/>
      <c r="P36" s="142"/>
      <c r="Q36" s="91"/>
      <c r="R36" s="161"/>
      <c r="S36" s="93"/>
      <c r="T36" s="93"/>
      <c r="U36" s="93"/>
      <c r="V36" s="98"/>
      <c r="W36" s="162" t="str">
        <f>IF(Y35&lt;&gt;"",IF(Y35&lt;5,"Gage discrimination low","Gage discrimination acceptable"),"")</f>
        <v>Gage discrimination acceptable</v>
      </c>
      <c r="X36" s="162"/>
      <c r="Y36" s="162"/>
      <c r="Z36" s="162"/>
      <c r="AA36" s="33"/>
      <c r="AB36" s="33"/>
      <c r="AC36" s="33"/>
      <c r="AD36" s="33"/>
      <c r="AE36" s="33"/>
      <c r="AF36" s="33"/>
      <c r="AG36" s="33"/>
    </row>
    <row r="37" spans="1:33" x14ac:dyDescent="0.25">
      <c r="A37" s="160" t="s">
        <v>101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73"/>
      <c r="O37" s="33"/>
      <c r="P37" s="160"/>
      <c r="Q37" s="33"/>
      <c r="R37" s="33"/>
      <c r="S37" s="33"/>
      <c r="T37" s="33"/>
      <c r="U37" s="33"/>
      <c r="V37" s="33"/>
      <c r="W37" s="33"/>
      <c r="X37" s="33"/>
      <c r="Y37" s="33"/>
      <c r="Z37" s="73"/>
      <c r="AA37" s="33"/>
      <c r="AB37" s="33"/>
      <c r="AC37" s="33"/>
      <c r="AD37" s="33"/>
      <c r="AE37" s="33"/>
      <c r="AF37" s="33"/>
      <c r="AG37" s="33"/>
    </row>
    <row r="38" spans="1:33" x14ac:dyDescent="0.25">
      <c r="A38" s="160" t="s">
        <v>102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73"/>
      <c r="O38" s="33"/>
      <c r="P38" s="163" t="s">
        <v>103</v>
      </c>
      <c r="Q38" s="163"/>
      <c r="R38" s="163"/>
      <c r="S38" s="163"/>
      <c r="T38" s="163"/>
      <c r="U38" s="163"/>
      <c r="V38" s="163"/>
      <c r="W38" s="163"/>
      <c r="X38" s="163"/>
      <c r="Y38" s="163"/>
      <c r="Z38" s="163"/>
      <c r="AA38" s="33"/>
      <c r="AB38" s="33"/>
      <c r="AC38" s="33"/>
      <c r="AD38" s="33"/>
      <c r="AE38" s="33"/>
      <c r="AF38" s="33"/>
      <c r="AG38" s="33"/>
    </row>
    <row r="39" spans="1:33" x14ac:dyDescent="0.25">
      <c r="A39" s="160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73"/>
      <c r="O39" s="33"/>
      <c r="P39" s="81"/>
      <c r="Q39" s="83"/>
      <c r="R39" s="33"/>
      <c r="S39" s="33"/>
      <c r="T39" s="33"/>
      <c r="U39" s="33"/>
      <c r="V39" s="33"/>
      <c r="W39" s="33"/>
      <c r="X39" s="33"/>
      <c r="Y39" s="93"/>
      <c r="Z39" s="98"/>
      <c r="AA39" s="33"/>
      <c r="AB39" s="33"/>
      <c r="AC39" s="33"/>
      <c r="AD39" s="33"/>
      <c r="AE39" s="33"/>
      <c r="AF39" s="33"/>
      <c r="AG39" s="33"/>
    </row>
    <row r="40" spans="1:33" x14ac:dyDescent="0.25">
      <c r="A40" s="160" t="s">
        <v>104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73"/>
      <c r="O40" s="33"/>
      <c r="P40" s="164" t="s">
        <v>105</v>
      </c>
      <c r="Q40" s="165"/>
      <c r="R40" s="165"/>
      <c r="S40" s="165"/>
      <c r="T40" s="166"/>
      <c r="U40" s="166" t="s">
        <v>106</v>
      </c>
      <c r="V40" s="166"/>
      <c r="W40" s="165"/>
      <c r="X40" s="165"/>
      <c r="Y40" s="167" t="s">
        <v>107</v>
      </c>
      <c r="Z40" s="167"/>
      <c r="AA40" s="33"/>
      <c r="AB40" s="33"/>
      <c r="AC40" s="33"/>
      <c r="AD40" s="33"/>
      <c r="AE40" s="33"/>
      <c r="AF40" s="33"/>
      <c r="AG40" s="33"/>
    </row>
    <row r="41" ht="12.4" customHeight="1" spans="1:33" x14ac:dyDescent="0.25">
      <c r="A41" s="160" t="s">
        <v>108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73"/>
      <c r="O41" s="33"/>
      <c r="P41" s="168"/>
      <c r="Q41" s="169" t="s">
        <v>109</v>
      </c>
      <c r="R41" s="170" t="s">
        <v>110</v>
      </c>
      <c r="S41" s="170"/>
      <c r="T41" s="171"/>
      <c r="U41" s="169" t="s">
        <v>111</v>
      </c>
      <c r="V41" s="170" t="s">
        <v>110</v>
      </c>
      <c r="W41" s="165"/>
      <c r="X41" s="165"/>
      <c r="Y41" s="172" t="str">
        <f>IF(AND(W45="  (OK)",W46="  (OK)",W47="  (OK)"),"OK", "NOT OK")</f>
        <v>OK</v>
      </c>
      <c r="Z41" s="172"/>
      <c r="AA41" s="33"/>
      <c r="AB41" s="33"/>
      <c r="AC41" s="33"/>
      <c r="AD41" s="33"/>
      <c r="AE41" s="33"/>
      <c r="AF41" s="173"/>
      <c r="AG41" s="83"/>
    </row>
    <row r="42" ht="12.4" customHeight="1" spans="1:33" x14ac:dyDescent="0.25">
      <c r="A42" s="160" t="s">
        <v>112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73"/>
      <c r="O42" s="33"/>
      <c r="P42" s="174"/>
      <c r="Q42" s="175" t="s">
        <v>113</v>
      </c>
      <c r="R42" s="165" t="s">
        <v>114</v>
      </c>
      <c r="S42" s="165"/>
      <c r="T42" s="171"/>
      <c r="U42" s="175" t="s">
        <v>115</v>
      </c>
      <c r="V42" s="165" t="s">
        <v>116</v>
      </c>
      <c r="W42" s="165"/>
      <c r="X42" s="165"/>
      <c r="Y42" s="172"/>
      <c r="Z42" s="172"/>
      <c r="AA42" s="33"/>
      <c r="AB42" s="33"/>
      <c r="AC42" s="33"/>
      <c r="AD42" s="33"/>
      <c r="AE42" s="33"/>
      <c r="AF42" s="175"/>
      <c r="AG42" s="83"/>
    </row>
    <row r="43" spans="1:33" x14ac:dyDescent="0.25">
      <c r="A43" s="160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73"/>
      <c r="O43" s="33"/>
      <c r="P43" s="174"/>
      <c r="Q43" s="175" t="s">
        <v>117</v>
      </c>
      <c r="R43" s="165" t="s">
        <v>118</v>
      </c>
      <c r="S43" s="165"/>
      <c r="T43" s="165"/>
      <c r="U43" s="83"/>
      <c r="V43" s="165"/>
      <c r="W43" s="165"/>
      <c r="X43" s="176"/>
      <c r="Y43" s="177" t="s">
        <v>119</v>
      </c>
      <c r="Z43" s="177" t="s">
        <v>120</v>
      </c>
      <c r="AA43" s="33"/>
      <c r="AB43" s="33"/>
      <c r="AC43" s="33"/>
      <c r="AD43" s="33"/>
      <c r="AE43" s="33"/>
      <c r="AF43" s="175"/>
      <c r="AG43" s="83"/>
    </row>
    <row r="44" spans="1:33" x14ac:dyDescent="0.25">
      <c r="A44" s="160" t="s">
        <v>121</v>
      </c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73"/>
      <c r="O44" s="33"/>
      <c r="P44" s="174"/>
      <c r="Q44" s="165"/>
      <c r="R44" s="165" t="s">
        <v>122</v>
      </c>
      <c r="S44" s="165"/>
      <c r="T44" s="165"/>
      <c r="U44" s="178" t="s">
        <v>123</v>
      </c>
      <c r="V44" s="179"/>
      <c r="W44" s="179"/>
      <c r="X44" s="176"/>
      <c r="Y44" s="177"/>
      <c r="Z44" s="177"/>
      <c r="AA44" s="33"/>
      <c r="AB44" s="33"/>
      <c r="AC44" s="33"/>
      <c r="AD44" s="33"/>
      <c r="AE44" s="33"/>
      <c r="AF44" s="33"/>
      <c r="AG44" s="33"/>
    </row>
    <row r="45" spans="1:33" x14ac:dyDescent="0.25">
      <c r="A45" s="160"/>
      <c r="B45" s="180"/>
      <c r="C45" s="180"/>
      <c r="D45" s="180"/>
      <c r="E45" s="180"/>
      <c r="F45" s="180"/>
      <c r="G45" s="180"/>
      <c r="H45" s="180"/>
      <c r="I45" s="180"/>
      <c r="J45" s="180"/>
      <c r="K45" s="180"/>
      <c r="L45" s="180"/>
      <c r="M45" s="180"/>
      <c r="N45" s="73"/>
      <c r="O45" s="33"/>
      <c r="P45" s="164" t="s">
        <v>124</v>
      </c>
      <c r="Q45" s="165"/>
      <c r="R45" s="165"/>
      <c r="S45" s="165"/>
      <c r="T45" s="166"/>
      <c r="U45" s="181" t="s">
        <v>125</v>
      </c>
      <c r="V45" s="182">
        <f>Y26</f>
        <v>9.730642159229646</v>
      </c>
      <c r="W45" s="178" t="str">
        <f>IF(V45&lt;10,"  (OK)","  (NG)")</f>
        <v>  (OK)</v>
      </c>
      <c r="X45" s="183"/>
      <c r="Y45" s="177"/>
      <c r="Z45" s="177"/>
      <c r="AA45" s="33"/>
      <c r="AB45" s="33"/>
      <c r="AC45" s="33"/>
      <c r="AD45" s="33"/>
      <c r="AE45" s="33"/>
      <c r="AF45" s="33"/>
      <c r="AG45" s="33"/>
    </row>
    <row r="46" spans="1:33" x14ac:dyDescent="0.25">
      <c r="A46" s="160"/>
      <c r="B46" s="180"/>
      <c r="C46" s="180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73"/>
      <c r="O46" s="33"/>
      <c r="P46" s="184"/>
      <c r="Q46" s="169" t="s">
        <v>126</v>
      </c>
      <c r="R46" s="170" t="s">
        <v>110</v>
      </c>
      <c r="S46" s="170"/>
      <c r="T46" s="171"/>
      <c r="U46" s="181" t="s">
        <v>127</v>
      </c>
      <c r="V46" s="182">
        <f>Y31</f>
        <v>99.52544701315851</v>
      </c>
      <c r="W46" s="178" t="str">
        <f>IF(V46&gt;=90,"  (OK)","  (NG)")</f>
        <v>  (OK)</v>
      </c>
      <c r="X46" s="183"/>
      <c r="Y46" s="177"/>
      <c r="Z46" s="177"/>
      <c r="AA46" s="33"/>
      <c r="AB46" s="33"/>
      <c r="AC46" s="33"/>
      <c r="AD46" s="33"/>
      <c r="AE46" s="33"/>
      <c r="AF46" s="33"/>
      <c r="AG46" s="33"/>
    </row>
    <row r="47" spans="1:33" x14ac:dyDescent="0.25">
      <c r="A47" s="90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8"/>
      <c r="O47" s="33"/>
      <c r="P47" s="185"/>
      <c r="Q47" s="186" t="s">
        <v>128</v>
      </c>
      <c r="R47" s="187" t="s">
        <v>116</v>
      </c>
      <c r="S47" s="187"/>
      <c r="T47" s="188"/>
      <c r="U47" s="189" t="s">
        <v>129</v>
      </c>
      <c r="V47" s="190">
        <f>Y35</f>
        <v>14</v>
      </c>
      <c r="W47" s="191" t="str">
        <f>IF(V47&gt;5,"  (OK)","  (NG)")</f>
        <v>  (OK)</v>
      </c>
      <c r="X47" s="192"/>
      <c r="Y47" s="177"/>
      <c r="Z47" s="177"/>
      <c r="AA47" s="33"/>
      <c r="AB47" s="33"/>
      <c r="AC47" s="33"/>
      <c r="AD47" s="33"/>
      <c r="AE47" s="33"/>
      <c r="AF47" s="33"/>
      <c r="AG47" s="33"/>
    </row>
    <row r="48" ht="13.5" customHeight="1" spans="1:33" x14ac:dyDescent="0.25">
      <c r="A48" s="193"/>
      <c r="B48" s="194" t="s">
        <v>130</v>
      </c>
      <c r="C48" s="194"/>
      <c r="D48" s="194"/>
      <c r="E48" s="194"/>
      <c r="F48" s="194"/>
      <c r="G48" s="194"/>
      <c r="H48" s="194"/>
      <c r="I48" s="194"/>
      <c r="J48" s="194"/>
      <c r="K48" s="194"/>
      <c r="L48" s="194"/>
      <c r="M48" s="194"/>
      <c r="N48" s="195" t="s">
        <v>131</v>
      </c>
      <c r="O48" s="193"/>
      <c r="P48" s="193"/>
      <c r="Q48" s="193"/>
      <c r="R48" s="196" t="str">
        <f>B48</f>
        <v>{{companyName}}</v>
      </c>
      <c r="S48" s="196"/>
      <c r="T48" s="196"/>
      <c r="U48" s="196"/>
      <c r="V48" s="196"/>
      <c r="W48" s="196"/>
      <c r="X48" s="196"/>
      <c r="Y48" s="196"/>
      <c r="Z48" s="195" t="s">
        <v>132</v>
      </c>
      <c r="AA48" s="193"/>
      <c r="AB48" s="193"/>
      <c r="AC48" s="193"/>
      <c r="AD48" s="193"/>
      <c r="AE48" s="193"/>
      <c r="AF48" s="193"/>
      <c r="AG48" s="193"/>
    </row>
  </sheetData>
  <mergeCells count="20">
    <mergeCell ref="A1:N1"/>
    <mergeCell ref="P1:Z1"/>
    <mergeCell ref="L11:N11"/>
    <mergeCell ref="Y11:Z11"/>
    <mergeCell ref="M14:N14"/>
    <mergeCell ref="R17:S17"/>
    <mergeCell ref="R21:S21"/>
    <mergeCell ref="R27:S27"/>
    <mergeCell ref="R31:S31"/>
    <mergeCell ref="A35:N35"/>
    <mergeCell ref="R35:S35"/>
    <mergeCell ref="W36:Z36"/>
    <mergeCell ref="P38:Z38"/>
    <mergeCell ref="Y40:Z40"/>
    <mergeCell ref="Y41:Z42"/>
    <mergeCell ref="Y44:Y47"/>
    <mergeCell ref="Z44:Z47"/>
    <mergeCell ref="B48:M48"/>
    <mergeCell ref="P48:Q48"/>
    <mergeCell ref="R48:Y48"/>
  </mergeCells>
  <printOptions horizontalCentered="1" verticalCentered="1"/>
  <pageMargins left="0.5511811023622047" right="0.4330708661417323" top="0.5905511811023623" bottom="0" header="0.31496062992125984" footer="0.31496062992125984"/>
  <pageSetup paperSize="9" orientation="landscape" horizontalDpi="4294967295" verticalDpi="4294967295" scale="7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L3101-02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2026-08-23T11:25:12Z</dcterms:created>
  <dcterms:modified xsi:type="dcterms:W3CDTF">2026-08-23T11:25:12Z</dcterms:modified>
</cp:coreProperties>
</file>