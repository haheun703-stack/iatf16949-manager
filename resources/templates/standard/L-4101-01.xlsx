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-4101-01" state="visible" r:id="rId4"/>
  </sheets>
  <definedNames>
    <definedName name="_xlnm.Print_Area" localSheetId="0">'L-4101-01'!$A1:$AK46</definedName>
  </definedNames>
  <calcPr calcId="171027"/>
</workbook>
</file>

<file path=xl/sharedStrings.xml><?xml version="1.0" encoding="utf-8"?>
<sst xmlns="http://schemas.openxmlformats.org/spreadsheetml/2006/main" count="57" uniqueCount="51">
  <si>
    <t>SPC 관리도 ( 000000 단차 )</t>
  </si>
  <si>
    <t>고객사</t>
  </si>
  <si>
    <t>공 정 명</t>
  </si>
  <si>
    <t>부 품 명</t>
  </si>
  <si>
    <t>품    번</t>
  </si>
  <si>
    <t>측정POINT</t>
  </si>
  <si>
    <t>품질특성</t>
  </si>
  <si>
    <t>규   격</t>
  </si>
  <si>
    <t>(+)공차</t>
  </si>
  <si>
    <t>시료수(n)</t>
  </si>
  <si>
    <t>측정기기</t>
  </si>
  <si>
    <t>측정자</t>
  </si>
  <si>
    <t>측정단위</t>
  </si>
  <si>
    <t>작성기간</t>
  </si>
  <si>
    <t>작성부서</t>
  </si>
  <si>
    <t>작 성 자</t>
  </si>
  <si>
    <t xml:space="preserve">     일자
 시료</t>
  </si>
  <si>
    <t>평 균</t>
  </si>
  <si>
    <r>
      <rPr>
        <b/>
        <charset val="129"/>
        <family val="3"/>
        <sz val="10"/>
        <rFont val="맑은 고딕"/>
      </rPr>
      <t xml:space="preserve"> 1.</t>
    </r>
    <r>
      <rPr>
        <b/>
        <charset val="129"/>
        <color rgb="FFFF0000"/>
        <family val="3"/>
        <sz val="12"/>
        <rFont val="맑은 고딕"/>
      </rPr>
      <t>□</t>
    </r>
    <r>
      <rPr>
        <b/>
        <charset val="129"/>
        <family val="3"/>
        <sz val="10"/>
        <rFont val="맑은 고딕"/>
      </rPr>
      <t>안에만 Data를 기록할</t>
    </r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</si>
  <si>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1</t>
    </r>
  </si>
  <si>
    <t xml:space="preserve">   것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</si>
  <si>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2</t>
    </r>
  </si>
  <si>
    <t xml:space="preserve"> 2.한쪽 공차인 경우 규격 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</si>
  <si>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3</t>
    </r>
  </si>
  <si>
    <t xml:space="preserve">   상한/하한만 기입할 것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</si>
  <si>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4</t>
    </r>
  </si>
  <si>
    <t xml:space="preserve"> 3.공정일지에는 공정 변동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</si>
  <si>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5</t>
    </r>
  </si>
  <si>
    <t xml:space="preserve">   요인을 기록할 것</t>
  </si>
  <si>
    <t>X bar</t>
  </si>
  <si>
    <t>R</t>
  </si>
  <si>
    <t>공정 일지</t>
  </si>
  <si>
    <t>통 계 치  SUMMARY</t>
  </si>
  <si>
    <t>구 분</t>
  </si>
  <si>
    <t>값</t>
  </si>
  <si>
    <t>판 정</t>
  </si>
  <si>
    <t>시 료 수</t>
  </si>
  <si>
    <t>--</t>
  </si>
  <si>
    <t>최대값(Xmax)</t>
  </si>
  <si>
    <t>최소값(Xmin)</t>
  </si>
  <si>
    <t>평   균</t>
  </si>
  <si>
    <t>표준편차(σ)</t>
  </si>
  <si>
    <t>X bar 관리상한</t>
  </si>
  <si>
    <t>X bar 관리하한</t>
  </si>
  <si>
    <t>R 관리상한</t>
  </si>
  <si>
    <t>Cpu</t>
  </si>
  <si>
    <t>Cpl</t>
  </si>
  <si>
    <t>공정능력 (Cp)</t>
  </si>
  <si>
    <t>공정능력 (Cpk)</t>
  </si>
  <si>
    <t>불량발생확률</t>
  </si>
  <si>
    <t>A₄(210mm×297mm)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</si>
</sst>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_);[RED](0.00)"/>
    <numFmt numFmtId="165" formatCode="0.0_);[RED](0.0)"/>
    <numFmt numFmtId="166" formatCode="m/d;@"/>
    <numFmt numFmtId="167" formatCode="#,##0.00_ "/>
    <numFmt numFmtId="168" formatCode="0.000"/>
    <numFmt numFmtId="169" formatCode="#,##0.00_);[RED](#,##0.00)"/>
    <numFmt numFmtId="170" formatCode="0_ "/>
    <numFmt numFmtId="171" formatCode="#,##0.000_ "/>
    <numFmt numFmtId="172" formatCode="0.0000"/>
  </numFmts>
  <fonts count="35" x14ac:knownFonts="1">
    <font>
      <color theme="1"/>
      <family val="2"/>
      <scheme val="minor"/>
      <sz val="11"/>
      <name val="Calibri"/>
    </font>
    <font>
      <b/>
      <charset val="129"/>
      <family val="3"/>
      <sz val="10"/>
      <name val="돋움체"/>
    </font>
    <font>
      <b/>
      <charset val="129"/>
      <family val="3"/>
      <sz val="22"/>
      <name val="돋움체"/>
    </font>
    <font>
      <b/>
      <charset val="129"/>
      <family val="3"/>
      <sz val="20"/>
      <name val="돋움체"/>
    </font>
    <font>
      <b/>
      <charset val="129"/>
      <family val="3"/>
      <sz val="24"/>
      <name val="돋움체"/>
    </font>
    <font>
      <b/>
      <charset val="129"/>
      <family val="3"/>
      <sz val="11"/>
      <name val="맑은 고딕"/>
    </font>
    <font>
      <b/>
      <charset val="129"/>
      <color rgb="FF000000"/>
      <family val="3"/>
      <sz val="11"/>
      <name val="맑은 고딕"/>
    </font>
    <font>
      <b/>
      <charset val="129"/>
      <family val="3"/>
      <sz val="12"/>
      <name val="돋움체"/>
    </font>
    <font>
      <b/>
      <charset val="129"/>
      <color rgb="FF000000"/>
      <family val="3"/>
      <sz val="9"/>
      <name val="맑은 고딕"/>
    </font>
    <font>
      <b/>
      <charset val="129"/>
      <color rgb="FF000000"/>
      <family val="3"/>
      <sz val="10"/>
      <name val="돋움체"/>
    </font>
    <font>
      <b/>
      <charset val="129"/>
      <color rgb="FFFFFFFF"/>
      <family val="3"/>
      <sz val="10"/>
      <name val="돋움체"/>
    </font>
    <font>
      <b/>
      <charset val="129"/>
      <family val="3"/>
      <sz val="10"/>
      <name val="맑은 고딕"/>
    </font>
    <font>
      <b/>
      <charset val="129"/>
      <color rgb="FF000000"/>
      <family val="3"/>
      <sz val="12"/>
      <name val="돋움체"/>
    </font>
    <font>
      <b/>
      <charset val="129"/>
      <color rgb="FFFF0000"/>
      <family val="3"/>
      <sz val="9"/>
      <name val="맑은 고딕"/>
    </font>
    <font>
      <charset val="129"/>
      <family val="3"/>
      <sz val="8"/>
      <name val="돋움체"/>
    </font>
    <font>
      <b/>
      <charset val="129"/>
      <family val="3"/>
      <sz val="9"/>
      <name val="돋움체"/>
    </font>
    <font>
      <charset val="129"/>
      <family val="3"/>
      <sz val="8"/>
      <name val="맑은 고딕"/>
    </font>
    <font>
      <b/>
      <charset val="129"/>
      <family val="3"/>
      <sz val="12"/>
      <name val="굴림체"/>
    </font>
    <font>
      <charset val="129"/>
      <family val="1"/>
      <sz val="12"/>
      <name val="바탕체"/>
    </font>
    <font>
      <b/>
      <charset val="129"/>
      <family val="3"/>
      <sz val="11"/>
      <name val="돋움체"/>
    </font>
    <font>
      <b/>
      <charset val="129"/>
      <color rgb="FFFFFFFF"/>
      <family val="3"/>
      <sz val="8"/>
      <name val="돋움체"/>
    </font>
    <font>
      <b/>
      <charset val="129"/>
      <color rgb="FFFFFFFF"/>
      <family val="3"/>
      <sz val="9"/>
      <name val="돋움체"/>
    </font>
    <font>
      <b/>
      <i/>
      <charset val="129"/>
      <family val="3"/>
      <sz val="11"/>
      <name val="돋움체"/>
    </font>
    <font>
      <charset val="129"/>
      <family val="3"/>
      <sz val="12"/>
      <name val="돋움체"/>
    </font>
    <font>
      <b/>
      <i/>
      <charset val="129"/>
      <family val="3"/>
      <sz val="10"/>
      <name val="맑은 고딕"/>
    </font>
    <font>
      <charset val="129"/>
      <color rgb="FF000000"/>
      <family val="3"/>
      <sz val="8"/>
      <name val="돋움체"/>
    </font>
    <font>
      <charset val="129"/>
      <color rgb="FF000000"/>
      <family val="3"/>
      <sz val="12"/>
      <name val="돋움체"/>
    </font>
    <font>
      <b/>
      <charset val="129"/>
      <color rgb="FF0000FF"/>
      <family val="3"/>
      <sz val="10"/>
      <name val="돋움체"/>
    </font>
    <font>
      <b/>
      <charset val="129"/>
      <family val="3"/>
      <sz val="8"/>
      <name val="돋움체"/>
    </font>
    <font>
      <charset val="129"/>
      <color rgb="FFFF00FF"/>
      <family val="3"/>
      <sz val="12"/>
      <name val="돋움체"/>
    </font>
    <font>
      <b/>
      <charset val="129"/>
      <color rgb="FFFF00FF"/>
      <family val="3"/>
      <sz val="10"/>
      <name val="돋움체"/>
    </font>
    <font>
      <charset val="129"/>
      <color rgb="FF0000FF"/>
      <family val="3"/>
      <sz val="12"/>
      <name val="돋움체"/>
    </font>
    <font>
      <b/>
      <charset val="129"/>
      <color rgb="FF0000FF"/>
      <family val="3"/>
      <sz val="10"/>
      <name val="맑은 고딕"/>
    </font>
    <font>
      <b/>
      <charset val="129"/>
      <color rgb="FFFF0000"/>
      <family val="3"/>
      <sz val="10"/>
      <name val="맑은 고딕"/>
    </font>
    <font>
      <charset val="129"/>
      <color rgb="FFFFFFFF"/>
      <family val="3"/>
      <sz val="8"/>
      <name val="돋움체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79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thin"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thin"/>
      <bottom style="thin"/>
      <diagonal/>
    </border>
    <border>
      <left style="thick">
        <color rgb="FFFF0000"/>
      </left>
      <right style="thick">
        <color rgb="FFFF0000"/>
      </right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thick"/>
      <diagonal/>
    </border>
    <border>
      <left/>
      <right/>
      <top/>
      <bottom style="thick"/>
      <diagonal/>
    </border>
    <border>
      <left/>
      <right style="medium"/>
      <top/>
      <bottom style="thick"/>
      <diagonal/>
    </border>
    <border>
      <left style="medium"/>
      <right/>
      <top style="thin"/>
      <bottom style="medium"/>
      <diagonal/>
    </border>
    <border>
      <left style="thick">
        <color rgb="FFFF0000"/>
      </left>
      <right style="thick">
        <color rgb="FFFF0000"/>
      </right>
      <top style="thin"/>
      <bottom style="thick">
        <color rgb="FFFF0000"/>
      </bottom>
      <diagonal/>
    </border>
    <border diagonalDown="1">
      <left style="medium"/>
      <right style="thick">
        <color rgb="FFFF0000"/>
      </right>
      <top/>
      <bottom style="thin"/>
      <diagonal style="hair"/>
    </border>
    <border>
      <left style="thin"/>
      <right style="hair"/>
      <top/>
      <bottom style="thin"/>
      <diagonal/>
    </border>
    <border>
      <left style="hair"/>
      <right style="hair"/>
      <top/>
      <bottom style="thin"/>
      <diagonal/>
    </border>
    <border>
      <left style="hair"/>
      <right style="medium">
        <color rgb="FFFF0000"/>
      </right>
      <top/>
      <bottom style="thin"/>
      <diagonal/>
    </border>
    <border>
      <left style="medium">
        <color rgb="FFFF0000"/>
      </left>
      <right style="thick"/>
      <top/>
      <bottom style="thin"/>
      <diagonal/>
    </border>
    <border>
      <left/>
      <right style="thick"/>
      <top style="thick">
        <color rgb="FFFF0000"/>
      </top>
      <bottom/>
      <diagonal/>
    </border>
    <border>
      <left style="medium"/>
      <right style="thick">
        <color rgb="FFFF0000"/>
      </right>
      <top style="thin"/>
      <bottom/>
      <diagonal/>
    </border>
    <border>
      <left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 style="medium">
        <color rgb="FFFF0000"/>
      </right>
      <top style="thin"/>
      <bottom style="thin"/>
      <diagonal/>
    </border>
    <border>
      <left style="medium">
        <color rgb="FFFF0000"/>
      </left>
      <right style="thick"/>
      <top/>
      <bottom/>
      <diagonal/>
    </border>
    <border>
      <left/>
      <right style="thick"/>
      <top style="medium"/>
      <bottom/>
      <diagonal/>
    </border>
    <border>
      <left style="medium"/>
      <right style="thick">
        <color rgb="FFFF0000"/>
      </right>
      <top style="thin"/>
      <bottom style="dashed"/>
      <diagonal/>
    </border>
    <border>
      <left style="thick">
        <color rgb="FFFF0000"/>
      </left>
      <right style="hair"/>
      <top style="thin"/>
      <bottom style="dashed"/>
      <diagonal/>
    </border>
    <border>
      <left style="hair"/>
      <right style="hair"/>
      <top style="thin"/>
      <bottom style="dashed"/>
      <diagonal/>
    </border>
    <border>
      <left style="hair"/>
      <right style="medium">
        <color rgb="FFFF0000"/>
      </right>
      <top style="thin"/>
      <bottom style="dashed"/>
      <diagonal/>
    </border>
    <border>
      <left style="medium">
        <color rgb="FFFF0000"/>
      </left>
      <right style="thick"/>
      <top style="thin"/>
      <bottom style="dashed"/>
      <diagonal/>
    </border>
    <border>
      <left/>
      <right style="thick"/>
      <top/>
      <bottom/>
      <diagonal/>
    </border>
    <border>
      <left style="medium"/>
      <right style="thick">
        <color rgb="FFFF0000"/>
      </right>
      <top style="dashed"/>
      <bottom style="dashed"/>
      <diagonal/>
    </border>
    <border>
      <left/>
      <right style="hair"/>
      <top/>
      <bottom style="dashed"/>
      <diagonal/>
    </border>
    <border>
      <left style="hair"/>
      <right style="hair"/>
      <top style="dashed"/>
      <bottom style="dashed"/>
      <diagonal/>
    </border>
    <border>
      <left style="hair"/>
      <right style="medium">
        <color rgb="FFFF0000"/>
      </right>
      <top style="dashed"/>
      <bottom style="dashed"/>
      <diagonal/>
    </border>
    <border>
      <left style="medium">
        <color rgb="FFFF0000"/>
      </left>
      <right style="thick"/>
      <top style="dashed"/>
      <bottom style="dashed"/>
      <diagonal/>
    </border>
    <border>
      <left style="thick">
        <color rgb="FFFF0000"/>
      </left>
      <right style="hair"/>
      <top style="dashed"/>
      <bottom style="dashed"/>
      <diagonal/>
    </border>
    <border>
      <left/>
      <right style="thick"/>
      <top style="dashed"/>
      <bottom style="dashed"/>
      <diagonal/>
    </border>
    <border>
      <left style="medium"/>
      <right style="thick">
        <color rgb="FFFF0000"/>
      </right>
      <top style="dashed"/>
      <bottom style="thin"/>
      <diagonal/>
    </border>
    <border>
      <left style="thick">
        <color rgb="FFFF0000"/>
      </left>
      <right style="hair"/>
      <top style="dashed"/>
      <bottom style="thick">
        <color rgb="FFFF0000"/>
      </bottom>
      <diagonal/>
    </border>
    <border>
      <left style="hair"/>
      <right style="hair"/>
      <top style="dashed"/>
      <bottom style="thick">
        <color rgb="FFFF0000"/>
      </bottom>
      <diagonal/>
    </border>
    <border>
      <left style="hair"/>
      <right style="medium">
        <color rgb="FFFF0000"/>
      </right>
      <top style="dashed"/>
      <bottom style="thick">
        <color rgb="FFFF0000"/>
      </bottom>
      <diagonal/>
    </border>
    <border>
      <left/>
      <right style="thick"/>
      <top style="dashed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ck">
        <color rgb="FFFF0000"/>
      </top>
      <bottom style="dotted"/>
      <diagonal/>
    </border>
    <border>
      <left style="hair"/>
      <right style="hair"/>
      <top style="thick">
        <color rgb="FFFF0000"/>
      </top>
      <bottom style="dotted"/>
      <diagonal/>
    </border>
    <border>
      <left/>
      <right style="hair"/>
      <top style="thick">
        <color rgb="FFFF0000"/>
      </top>
      <bottom style="dotted"/>
      <diagonal/>
    </border>
    <border>
      <left style="thin"/>
      <right style="thick"/>
      <top style="thin"/>
      <bottom/>
      <diagonal/>
    </border>
    <border>
      <left style="medium"/>
      <right/>
      <top/>
      <bottom style="medium"/>
      <diagonal/>
    </border>
    <border>
      <left/>
      <right style="thick"/>
      <top/>
      <bottom style="thick"/>
      <diagonal/>
    </border>
    <border>
      <left style="medium"/>
      <right style="thin"/>
      <top style="dotted"/>
      <bottom style="thick"/>
      <diagonal/>
    </border>
    <border>
      <left style="thin"/>
      <right style="hair"/>
      <top style="dotted"/>
      <bottom style="thick"/>
      <diagonal/>
    </border>
    <border>
      <left style="hair"/>
      <right style="hair"/>
      <top style="dotted"/>
      <bottom style="thick"/>
      <diagonal/>
    </border>
    <border>
      <left style="thin"/>
      <right style="thick"/>
      <top style="dotted"/>
      <bottom style="thick"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dashed"/>
      <diagonal/>
    </border>
    <border>
      <left style="thick">
        <color rgb="FFFF0000"/>
      </left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ck">
        <color rgb="FFFF0000"/>
      </left>
      <right style="thick">
        <color rgb="FFFF0000"/>
      </right>
      <top style="dashed"/>
      <bottom style="dashed"/>
      <diagonal/>
    </border>
    <border>
      <left style="medium"/>
      <right style="thin"/>
      <top style="medium"/>
      <bottom/>
      <diagonal/>
    </border>
    <border>
      <left/>
      <right style="thin"/>
      <top style="medium"/>
      <bottom/>
      <diagonal/>
    </border>
    <border>
      <left style="thick">
        <color rgb="FFFF0000"/>
      </left>
      <right/>
      <top/>
      <bottom style="dashed"/>
      <diagonal/>
    </border>
    <border>
      <left/>
      <right/>
      <top/>
      <bottom style="dashed"/>
      <diagonal/>
    </border>
    <border>
      <left style="medium"/>
      <right style="thin"/>
      <top style="dotted"/>
      <bottom/>
      <diagonal/>
    </border>
    <border>
      <left/>
      <right style="thin"/>
      <top style="dotted"/>
      <bottom/>
      <diagonal/>
    </border>
    <border>
      <left/>
      <right style="medium"/>
      <top style="dotted"/>
      <bottom style="dotted"/>
      <diagonal/>
    </border>
    <border>
      <left style="medium"/>
      <right style="thin"/>
      <top style="dotted"/>
      <bottom style="dotted"/>
      <diagonal/>
    </border>
    <border>
      <left/>
      <right style="thin"/>
      <top style="dotted"/>
      <bottom style="dotted"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 style="thin"/>
      <top/>
      <bottom style="medium"/>
      <diagonal/>
    </border>
    <border>
      <left/>
      <right style="medium"/>
      <top/>
      <bottom style="medium"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dotted"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2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2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166" fontId="1" fillId="0" borderId="17" xfId="0" applyNumberFormat="1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166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167" fontId="16" fillId="0" borderId="29" xfId="0" applyNumberFormat="1" applyFont="1" applyBorder="1" applyAlignment="1">
      <alignment horizontal="right" vertical="center" wrapText="1" shrinkToFit="1"/>
    </xf>
    <xf numFmtId="167" fontId="16" fillId="0" borderId="30" xfId="0" applyNumberFormat="1" applyFont="1" applyBorder="1" applyAlignment="1">
      <alignment horizontal="right" vertical="center" wrapText="1" shrinkToFit="1"/>
    </xf>
    <xf numFmtId="167" fontId="14" fillId="0" borderId="31" xfId="0" applyNumberFormat="1" applyFont="1" applyBorder="1" applyAlignment="1">
      <alignment horizontal="center" vertical="center"/>
    </xf>
    <xf numFmtId="168" fontId="15" fillId="0" borderId="32" xfId="0" applyNumberFormat="1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167" fontId="16" fillId="0" borderId="35" xfId="0" applyNumberFormat="1" applyFont="1" applyBorder="1" applyAlignment="1">
      <alignment horizontal="right" vertical="center" wrapText="1" shrinkToFit="1"/>
    </xf>
    <xf numFmtId="167" fontId="16" fillId="0" borderId="36" xfId="0" applyNumberFormat="1" applyFont="1" applyBorder="1" applyAlignment="1">
      <alignment horizontal="right" vertical="center" wrapText="1" shrinkToFit="1"/>
    </xf>
    <xf numFmtId="167" fontId="14" fillId="0" borderId="37" xfId="0" applyNumberFormat="1" applyFont="1" applyBorder="1" applyAlignment="1">
      <alignment horizontal="center" vertical="center"/>
    </xf>
    <xf numFmtId="168" fontId="15" fillId="0" borderId="38" xfId="0" applyNumberFormat="1" applyFont="1" applyBorder="1" applyAlignment="1">
      <alignment vertical="center"/>
    </xf>
    <xf numFmtId="167" fontId="16" fillId="0" borderId="39" xfId="0" applyNumberFormat="1" applyFont="1" applyBorder="1" applyAlignment="1">
      <alignment horizontal="right" vertical="center" wrapText="1" shrinkToFit="1"/>
    </xf>
    <xf numFmtId="168" fontId="15" fillId="0" borderId="40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right" vertical="center" wrapText="1" shrinkToFit="1"/>
    </xf>
    <xf numFmtId="167" fontId="16" fillId="0" borderId="43" xfId="0" applyNumberFormat="1" applyFont="1" applyBorder="1" applyAlignment="1">
      <alignment horizontal="right" vertical="center" wrapText="1" shrinkToFit="1"/>
    </xf>
    <xf numFmtId="167" fontId="14" fillId="0" borderId="44" xfId="0" applyNumberFormat="1" applyFont="1" applyBorder="1" applyAlignment="1">
      <alignment horizontal="center" vertical="center"/>
    </xf>
    <xf numFmtId="168" fontId="15" fillId="0" borderId="45" xfId="0" applyNumberFormat="1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167" fontId="16" fillId="0" borderId="47" xfId="0" applyNumberFormat="1" applyFont="1" applyBorder="1" applyAlignment="1">
      <alignment horizontal="right" vertical="center" wrapText="1" shrinkToFit="1"/>
    </xf>
    <xf numFmtId="167" fontId="16" fillId="0" borderId="48" xfId="0" applyNumberFormat="1" applyFont="1" applyBorder="1" applyAlignment="1">
      <alignment horizontal="right" vertical="center" wrapText="1" shrinkToFit="1"/>
    </xf>
    <xf numFmtId="167" fontId="16" fillId="0" borderId="49" xfId="0" applyNumberFormat="1" applyFont="1" applyBorder="1" applyAlignment="1">
      <alignment horizontal="right" vertical="center" wrapText="1" shrinkToFit="1"/>
    </xf>
    <xf numFmtId="164" fontId="15" fillId="0" borderId="50" xfId="0" applyNumberFormat="1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164" fontId="16" fillId="0" borderId="54" xfId="0" applyNumberFormat="1" applyFont="1" applyBorder="1" applyAlignment="1">
      <alignment horizontal="right" vertical="center" wrapText="1" shrinkToFit="1"/>
    </xf>
    <xf numFmtId="167" fontId="16" fillId="0" borderId="55" xfId="0" applyNumberFormat="1" applyFont="1" applyBorder="1" applyAlignment="1">
      <alignment horizontal="right" vertical="center" wrapText="1" shrinkToFit="1"/>
    </xf>
    <xf numFmtId="167" fontId="14" fillId="0" borderId="55" xfId="0" applyNumberFormat="1" applyFont="1" applyBorder="1" applyAlignment="1">
      <alignment horizontal="center" vertical="center"/>
    </xf>
    <xf numFmtId="164" fontId="15" fillId="0" borderId="56" xfId="0" applyNumberFormat="1" applyFont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horizontal="center" vertical="center"/>
    </xf>
    <xf numFmtId="2" fontId="20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19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vertical="center"/>
    </xf>
    <xf numFmtId="0" fontId="19" fillId="2" borderId="59" xfId="0" applyFont="1" applyFill="1" applyBorder="1" applyAlignment="1">
      <alignment horizontal="center" vertical="center"/>
    </xf>
    <xf numFmtId="0" fontId="19" fillId="2" borderId="60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center" shrinkToFit="1"/>
    </xf>
    <xf numFmtId="169" fontId="23" fillId="0" borderId="0" xfId="0" applyNumberFormat="1" applyFont="1" applyAlignment="1">
      <alignment horizontal="center" vertical="center" shrinkToFit="1"/>
    </xf>
    <xf numFmtId="169" fontId="14" fillId="0" borderId="0" xfId="0" applyNumberFormat="1" applyFont="1" applyAlignment="1">
      <alignment vertical="center" shrinkToFit="1"/>
    </xf>
    <xf numFmtId="164" fontId="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0" fontId="1" fillId="0" borderId="65" xfId="0" applyFont="1" applyBorder="1" applyAlignment="1">
      <alignment horizontal="left" vertical="center" indent="1"/>
    </xf>
    <xf numFmtId="0" fontId="1" fillId="0" borderId="66" xfId="0" applyFont="1" applyBorder="1" applyAlignment="1">
      <alignment vertical="center"/>
    </xf>
    <xf numFmtId="0" fontId="11" fillId="0" borderId="67" xfId="0" applyFont="1" applyBorder="1" applyAlignment="1">
      <alignment horizontal="center" vertical="center"/>
    </xf>
    <xf numFmtId="171" fontId="11" fillId="0" borderId="68" xfId="0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169" fontId="25" fillId="0" borderId="0" xfId="0" applyNumberFormat="1" applyFont="1" applyAlignment="1">
      <alignment horizontal="center" vertical="center" shrinkToFit="1"/>
    </xf>
    <xf numFmtId="169" fontId="26" fillId="0" borderId="0" xfId="0" applyNumberFormat="1" applyFont="1" applyAlignment="1">
      <alignment horizontal="center" vertical="center" shrinkToFit="1"/>
    </xf>
    <xf numFmtId="164" fontId="27" fillId="0" borderId="0" xfId="0" applyNumberFormat="1" applyFont="1" applyAlignment="1">
      <alignment horizontal="center" vertical="center"/>
    </xf>
    <xf numFmtId="172" fontId="28" fillId="0" borderId="66" xfId="0" applyNumberFormat="1" applyFont="1" applyBorder="1" applyAlignment="1">
      <alignment vertical="center"/>
    </xf>
    <xf numFmtId="0" fontId="11" fillId="0" borderId="70" xfId="0" applyFont="1" applyBorder="1" applyAlignment="1">
      <alignment horizontal="center" vertical="center"/>
    </xf>
    <xf numFmtId="169" fontId="29" fillId="0" borderId="0" xfId="0" applyNumberFormat="1" applyFont="1" applyAlignment="1">
      <alignment horizontal="center" vertical="center" shrinkToFit="1"/>
    </xf>
    <xf numFmtId="164" fontId="30" fillId="0" borderId="0" xfId="0" applyNumberFormat="1" applyFont="1" applyAlignment="1">
      <alignment horizontal="center" vertical="center"/>
    </xf>
    <xf numFmtId="170" fontId="30" fillId="0" borderId="0" xfId="0" applyNumberFormat="1" applyFont="1" applyAlignment="1">
      <alignment horizontal="center" vertical="center"/>
    </xf>
    <xf numFmtId="171" fontId="30" fillId="0" borderId="0" xfId="0" applyNumberFormat="1" applyFont="1" applyAlignment="1">
      <alignment horizontal="center" vertical="center"/>
    </xf>
    <xf numFmtId="168" fontId="11" fillId="0" borderId="7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72" fontId="1" fillId="0" borderId="66" xfId="0" applyNumberFormat="1" applyFont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172" fontId="11" fillId="0" borderId="71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169" fontId="31" fillId="0" borderId="0" xfId="0" applyNumberFormat="1" applyFont="1" applyAlignment="1">
      <alignment horizontal="center" vertical="center" shrinkToFit="1"/>
    </xf>
    <xf numFmtId="170" fontId="27" fillId="0" borderId="0" xfId="0" applyNumberFormat="1" applyFont="1" applyAlignment="1">
      <alignment horizontal="center" vertical="center"/>
    </xf>
    <xf numFmtId="171" fontId="27" fillId="0" borderId="0" xfId="0" applyNumberFormat="1" applyFont="1" applyAlignment="1">
      <alignment horizontal="center" vertical="center"/>
    </xf>
    <xf numFmtId="2" fontId="11" fillId="0" borderId="71" xfId="0" applyNumberFormat="1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2" fontId="32" fillId="0" borderId="71" xfId="0" applyNumberFormat="1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3" fontId="33" fillId="0" borderId="74" xfId="0" applyNumberFormat="1" applyFont="1" applyBorder="1" applyAlignment="1">
      <alignment horizontal="center" vertical="center"/>
    </xf>
    <xf numFmtId="49" fontId="11" fillId="0" borderId="75" xfId="0" applyNumberFormat="1" applyFont="1" applyBorder="1" applyAlignment="1">
      <alignment horizontal="center" vertical="center"/>
    </xf>
    <xf numFmtId="0" fontId="1" fillId="0" borderId="76" xfId="0" applyFont="1" applyBorder="1" applyAlignment="1">
      <alignment horizontal="left" vertical="center" indent="1"/>
    </xf>
    <xf numFmtId="0" fontId="1" fillId="0" borderId="77" xfId="0" applyFont="1" applyBorder="1" applyAlignment="1">
      <alignment vertical="center"/>
    </xf>
    <xf numFmtId="168" fontId="10" fillId="0" borderId="0" xfId="0" applyNumberFormat="1" applyFont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0" fontId="1" fillId="0" borderId="7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65" fontId="34" fillId="0" borderId="4" xfId="0" applyNumberFormat="1" applyFont="1" applyBorder="1" applyAlignment="1">
      <alignment vertical="center"/>
    </xf>
    <xf numFmtId="165" fontId="34" fillId="0" borderId="5" xfId="0" applyNumberFormat="1" applyFont="1" applyBorder="1" applyAlignment="1">
      <alignment vertical="center"/>
    </xf>
    <xf numFmtId="165" fontId="34" fillId="3" borderId="5" xfId="0" applyNumberFormat="1" applyFont="1" applyFill="1" applyBorder="1" applyAlignment="1">
      <alignment vertical="center"/>
    </xf>
    <xf numFmtId="165" fontId="34" fillId="3" borderId="6" xfId="0" applyNumberFormat="1" applyFont="1" applyFill="1" applyBorder="1" applyAlignment="1">
      <alignment vertical="center"/>
    </xf>
    <xf numFmtId="165" fontId="34" fillId="0" borderId="9" xfId="0" applyNumberFormat="1" applyFont="1" applyBorder="1" applyAlignment="1">
      <alignment vertical="center"/>
    </xf>
    <xf numFmtId="165" fontId="34" fillId="0" borderId="0" xfId="0" applyNumberFormat="1" applyFont="1" applyAlignment="1">
      <alignment vertical="center"/>
    </xf>
    <xf numFmtId="165" fontId="34" fillId="3" borderId="0" xfId="0" applyNumberFormat="1" applyFont="1" applyFill="1" applyAlignment="1">
      <alignment vertical="center"/>
    </xf>
    <xf numFmtId="165" fontId="34" fillId="3" borderId="10" xfId="0" applyNumberFormat="1" applyFont="1" applyFill="1" applyBorder="1" applyAlignment="1">
      <alignment vertical="center"/>
    </xf>
    <xf numFmtId="165" fontId="34" fillId="0" borderId="51" xfId="0" applyNumberFormat="1" applyFont="1" applyBorder="1" applyAlignment="1">
      <alignment vertical="center"/>
    </xf>
    <xf numFmtId="165" fontId="34" fillId="0" borderId="1" xfId="0" applyNumberFormat="1" applyFont="1" applyBorder="1" applyAlignment="1">
      <alignment vertical="center"/>
    </xf>
    <xf numFmtId="165" fontId="34" fillId="3" borderId="1" xfId="0" applyNumberFormat="1" applyFont="1" applyFill="1" applyBorder="1" applyAlignment="1">
      <alignment vertical="center"/>
    </xf>
    <xf numFmtId="165" fontId="34" fillId="3" borderId="7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workbookViewId="0" zoomScale="100" zoomScaleNormal="100" view="normal">
      <selection activeCell="A1" sqref="A1"/>
    </sheetView>
  </sheetViews>
  <sheetFormatPr defaultRowHeight="12" outlineLevelRow="0" outlineLevelCol="0" x14ac:dyDescent="0" defaultColWidth="8.9921875" customHeight="1"/>
  <cols>
    <col min="1" max="1" width="1.37" customWidth="1"/>
    <col min="2" max="2" width="9.37" customWidth="1"/>
    <col min="3" max="4" width="10.62" customWidth="1"/>
    <col min="5" max="5" width="0.74" hidden="1" customWidth="1"/>
    <col min="6" max="6" width="7.62" customWidth="1"/>
    <col min="7" max="36" width="5.62" customWidth="1"/>
    <col min="37" max="37" width="7.62" customWidth="1"/>
    <col min="38" max="257" width="8.99" customWidth="1"/>
  </cols>
  <sheetData>
    <row r="1" ht="50.1" customHeight="1" spans="1:257" x14ac:dyDescent="0.25">
      <c r="A1" s="1"/>
      <c r="B1" s="2"/>
      <c r="C1" s="3"/>
      <c r="D1" s="3"/>
      <c r="E1" s="4"/>
      <c r="F1" s="4"/>
      <c r="G1" s="4"/>
      <c r="H1" s="4"/>
      <c r="I1" s="4"/>
      <c r="J1" s="5" t="s">
        <v>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4"/>
      <c r="AG1" s="4"/>
      <c r="AH1" s="4"/>
      <c r="AI1" s="4"/>
      <c r="AJ1" s="4"/>
      <c r="AK1" s="4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ht="21" customHeight="1" spans="1:257" x14ac:dyDescent="0.25">
      <c r="A2" s="1"/>
      <c r="B2" s="6" t="s">
        <v>1</v>
      </c>
      <c r="C2" s="7"/>
      <c r="D2" s="7"/>
      <c r="E2" s="1"/>
      <c r="F2" s="8"/>
      <c r="G2" s="9"/>
      <c r="H2" s="9"/>
      <c r="I2" s="9"/>
      <c r="J2" s="10"/>
      <c r="K2" s="10"/>
      <c r="L2" s="11"/>
      <c r="M2" s="12"/>
      <c r="N2" s="12"/>
      <c r="O2" s="13"/>
      <c r="P2" s="11"/>
      <c r="Q2" s="11"/>
      <c r="R2" s="12"/>
      <c r="S2" s="14"/>
      <c r="T2" s="9"/>
      <c r="U2" s="11"/>
      <c r="V2" s="11"/>
      <c r="W2" s="1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0"/>
      <c r="AJ2" s="10"/>
      <c r="AK2" s="15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ht="21" customHeight="1" spans="1:257" x14ac:dyDescent="0.25">
      <c r="A3" s="1"/>
      <c r="B3" s="16" t="s">
        <v>2</v>
      </c>
      <c r="C3" s="17"/>
      <c r="D3" s="17"/>
      <c r="E3" s="1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20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ht="21" customHeight="1" spans="1:257" x14ac:dyDescent="0.25">
      <c r="A4" s="1"/>
      <c r="B4" s="16" t="s">
        <v>3</v>
      </c>
      <c r="C4" s="21"/>
      <c r="D4" s="21"/>
      <c r="E4" s="1"/>
      <c r="F4" s="18"/>
      <c r="G4" s="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/>
      <c r="AF4" s="22"/>
      <c r="AG4" s="22"/>
      <c r="AH4" s="22"/>
      <c r="AI4" s="22"/>
      <c r="AJ4" s="22"/>
      <c r="AK4" s="20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21" customHeight="1" spans="1:257" x14ac:dyDescent="0.25">
      <c r="A5" s="1"/>
      <c r="B5" s="16" t="s">
        <v>4</v>
      </c>
      <c r="C5" s="21"/>
      <c r="D5" s="21"/>
      <c r="E5" s="1"/>
      <c r="F5" s="18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3"/>
      <c r="AF5" s="23"/>
      <c r="AG5" s="23"/>
      <c r="AH5" s="23"/>
      <c r="AI5" s="23"/>
      <c r="AJ5" s="23"/>
      <c r="AK5" s="20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ht="21" customHeight="1" spans="1:257" x14ac:dyDescent="0.25">
      <c r="A6" s="1"/>
      <c r="B6" s="25" t="s">
        <v>5</v>
      </c>
      <c r="C6" s="26"/>
      <c r="D6" s="26"/>
      <c r="E6" s="1"/>
      <c r="F6" s="18"/>
      <c r="G6" s="22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/>
      <c r="AF6" s="22"/>
      <c r="AG6" s="22"/>
      <c r="AH6" s="22"/>
      <c r="AI6" s="22"/>
      <c r="AJ6" s="22"/>
      <c r="AK6" s="20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ht="21" customHeight="1" spans="1:257" x14ac:dyDescent="0.25">
      <c r="A7" s="1"/>
      <c r="B7" s="16" t="s">
        <v>6</v>
      </c>
      <c r="C7" s="17"/>
      <c r="D7" s="17"/>
      <c r="E7" s="1"/>
      <c r="F7" s="18"/>
      <c r="G7" s="22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/>
      <c r="AF7" s="22"/>
      <c r="AG7" s="22"/>
      <c r="AH7" s="22"/>
      <c r="AI7" s="22"/>
      <c r="AJ7" s="22"/>
      <c r="AK7" s="20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ht="21" customHeight="1" spans="1:257" x14ac:dyDescent="0.25">
      <c r="A8" s="1"/>
      <c r="B8" s="16" t="s">
        <v>7</v>
      </c>
      <c r="C8" s="27"/>
      <c r="D8" s="27"/>
      <c r="E8" s="1"/>
      <c r="F8" s="18"/>
      <c r="G8" s="22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/>
      <c r="AF8" s="22"/>
      <c r="AG8" s="22"/>
      <c r="AH8" s="22"/>
      <c r="AI8" s="22"/>
      <c r="AJ8" s="22"/>
      <c r="AK8" s="20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ht="21" customHeight="1" spans="1:257" x14ac:dyDescent="0.25">
      <c r="A9" s="1"/>
      <c r="B9" s="16" t="s">
        <v>8</v>
      </c>
      <c r="C9" s="28"/>
      <c r="D9" s="28"/>
      <c r="E9" s="1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ht="21" customHeight="1" spans="1:257" x14ac:dyDescent="0.25">
      <c r="A10" s="1"/>
      <c r="B10" s="16" t="s">
        <v>8</v>
      </c>
      <c r="C10" s="28"/>
      <c r="D10" s="28"/>
      <c r="E10" s="1"/>
      <c r="F10" s="18"/>
      <c r="G10" s="29"/>
      <c r="H10" s="30"/>
      <c r="I10" s="30"/>
      <c r="J10" s="19"/>
      <c r="K10" s="19"/>
      <c r="L10" s="31"/>
      <c r="M10" s="32"/>
      <c r="N10" s="32"/>
      <c r="O10" s="33"/>
      <c r="P10" s="31"/>
      <c r="Q10" s="31"/>
      <c r="R10" s="32"/>
      <c r="S10" s="34"/>
      <c r="T10" s="30"/>
      <c r="U10" s="31"/>
      <c r="V10" s="31"/>
      <c r="W10" s="32"/>
      <c r="X10" s="19"/>
      <c r="Y10" s="19"/>
      <c r="Z10" s="19"/>
      <c r="AA10" s="19"/>
      <c r="AB10" s="19"/>
      <c r="AC10" s="19"/>
      <c r="AD10" s="19"/>
      <c r="AE10" s="1"/>
      <c r="AF10" s="1"/>
      <c r="AG10" s="1"/>
      <c r="AH10" s="1"/>
      <c r="AI10" s="1"/>
      <c r="AJ10" s="1"/>
      <c r="AK10" s="20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ht="21" customHeight="1" spans="1:257" x14ac:dyDescent="0.25">
      <c r="A11" s="1"/>
      <c r="B11" s="25" t="s">
        <v>9</v>
      </c>
      <c r="C11" s="17"/>
      <c r="D11" s="17"/>
      <c r="E11" s="1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0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ht="21" customHeight="1" spans="1:257" x14ac:dyDescent="0.25">
      <c r="A12" s="1"/>
      <c r="B12" s="16" t="s">
        <v>10</v>
      </c>
      <c r="C12" s="35"/>
      <c r="D12" s="35"/>
      <c r="E12" s="1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0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ht="21" customHeight="1" spans="1:257" x14ac:dyDescent="0.25">
      <c r="A13" s="1"/>
      <c r="B13" s="16" t="s">
        <v>11</v>
      </c>
      <c r="C13" s="36"/>
      <c r="D13" s="36"/>
      <c r="E13" s="1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0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ht="21" customHeight="1" spans="1:257" x14ac:dyDescent="0.25">
      <c r="A14" s="1"/>
      <c r="B14" s="16" t="s">
        <v>12</v>
      </c>
      <c r="C14" s="17"/>
      <c r="D14" s="17"/>
      <c r="E14" s="1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0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ht="24.75" customHeight="1" spans="1:257" x14ac:dyDescent="0.25">
      <c r="A15" s="1"/>
      <c r="B15" s="16" t="s">
        <v>13</v>
      </c>
      <c r="C15" s="37"/>
      <c r="D15" s="37"/>
      <c r="E15" s="1"/>
      <c r="F15" s="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0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ht="21" customHeight="1" spans="1:257" x14ac:dyDescent="0.25">
      <c r="A16" s="1"/>
      <c r="B16" s="16" t="s">
        <v>14</v>
      </c>
      <c r="C16" s="17"/>
      <c r="D16" s="17"/>
      <c r="E16" s="19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ht="21" customHeight="1" spans="1:257" x14ac:dyDescent="0.25">
      <c r="A17" s="1"/>
      <c r="B17" s="41" t="s">
        <v>15</v>
      </c>
      <c r="C17" s="42"/>
      <c r="D17" s="42"/>
      <c r="E17" s="1"/>
      <c r="F17" s="43" t="s">
        <v>16</v>
      </c>
      <c r="G17" s="44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6"/>
      <c r="AK17" s="47" t="s">
        <v>17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ht="3.75" customHeight="1" spans="1:257" x14ac:dyDescent="0.25">
      <c r="A18" s="1"/>
      <c r="B18" s="48"/>
      <c r="C18" s="48"/>
      <c r="D18" s="49"/>
      <c r="E18" s="1"/>
      <c r="F18" s="50"/>
      <c r="G18" s="51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  <c r="AK18" s="54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ht="15" customHeight="1" spans="1:257" x14ac:dyDescent="0.25">
      <c r="A19" s="1"/>
      <c r="B19" s="55" t="s">
        <v>18</v>
      </c>
      <c r="C19" s="56"/>
      <c r="D19" s="57"/>
      <c r="E19" s="1"/>
      <c r="F19" s="58" t="s">
        <v>19</v>
      </c>
      <c r="G19" s="5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2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ht="15" customHeight="1" spans="1:257" x14ac:dyDescent="0.25">
      <c r="A20" s="1"/>
      <c r="B20" s="63" t="s">
        <v>20</v>
      </c>
      <c r="C20" s="64"/>
      <c r="D20" s="65"/>
      <c r="E20" s="1"/>
      <c r="F20" s="66" t="s">
        <v>21</v>
      </c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9"/>
      <c r="AK20" s="70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ht="15" customHeight="1" spans="1:257" x14ac:dyDescent="0.25">
      <c r="A21" s="1"/>
      <c r="B21" s="63" t="s">
        <v>22</v>
      </c>
      <c r="C21" s="64"/>
      <c r="D21" s="65"/>
      <c r="E21" s="1"/>
      <c r="F21" s="66" t="s">
        <v>23</v>
      </c>
      <c r="G21" s="71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9"/>
      <c r="AK21" s="72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ht="15" customHeight="1" spans="1:257" x14ac:dyDescent="0.25">
      <c r="A22" s="1"/>
      <c r="B22" s="63" t="s">
        <v>24</v>
      </c>
      <c r="C22" s="64"/>
      <c r="D22" s="65"/>
      <c r="E22" s="1"/>
      <c r="F22" s="66" t="s">
        <v>25</v>
      </c>
      <c r="G22" s="71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9"/>
      <c r="AK22" s="72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ht="15" customHeight="1" spans="1:257" x14ac:dyDescent="0.25">
      <c r="A23" s="1"/>
      <c r="B23" s="63" t="s">
        <v>26</v>
      </c>
      <c r="C23" s="64"/>
      <c r="D23" s="65"/>
      <c r="E23" s="1"/>
      <c r="F23" s="73" t="s">
        <v>27</v>
      </c>
      <c r="G23" s="74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6"/>
      <c r="AK23" s="77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ht="15" customHeight="1" spans="1:257" x14ac:dyDescent="0.25">
      <c r="A24" s="1"/>
      <c r="B24" s="63" t="s">
        <v>28</v>
      </c>
      <c r="C24" s="64"/>
      <c r="D24" s="65"/>
      <c r="E24" s="1"/>
      <c r="F24" s="78" t="s">
        <v>29</v>
      </c>
      <c r="G24" s="79">
        <f>AVERAGE(G19:G23)</f>
        <v>2.975</v>
      </c>
      <c r="H24" s="80">
        <f>AVERAGE(H19:H23)</f>
        <v>2.992</v>
      </c>
      <c r="I24" s="80">
        <f>AVERAGE(I19:I23)</f>
        <v>2.992</v>
      </c>
      <c r="J24" s="80">
        <f>AVERAGE(J19:J23)</f>
        <v>2.992</v>
      </c>
      <c r="K24" s="80">
        <f>AVERAGE(K19:K23)</f>
        <v>2.992</v>
      </c>
      <c r="L24" s="80">
        <f>AVERAGE(L19:L23)</f>
        <v>2.992</v>
      </c>
      <c r="M24" s="80">
        <f>AVERAGE(M19:M23)</f>
        <v>2.992</v>
      </c>
      <c r="N24" s="80">
        <f>AVERAGE(N19:N23)</f>
        <v>2.992</v>
      </c>
      <c r="O24" s="80">
        <f>AVERAGE(O19:O23)</f>
        <v>2.992</v>
      </c>
      <c r="P24" s="80">
        <f>AVERAGE(P19:P23)</f>
        <v>2.992</v>
      </c>
      <c r="Q24" s="80">
        <f>AVERAGE(Q19:Q23)</f>
        <v>2.992</v>
      </c>
      <c r="R24" s="80">
        <f>AVERAGE(R19:R23)</f>
        <v>2.992</v>
      </c>
      <c r="S24" s="80">
        <f>AVERAGE(S19:S23)</f>
        <v>2.992</v>
      </c>
      <c r="T24" s="80">
        <f>AVERAGE(T19:T23)</f>
        <v>2.992</v>
      </c>
      <c r="U24" s="80">
        <f>AVERAGE(U19:U23)</f>
        <v>2.992</v>
      </c>
      <c r="V24" s="80">
        <f>AVERAGE(V19:V23)</f>
        <v>2.992</v>
      </c>
      <c r="W24" s="80">
        <f>AVERAGE(W19:W23)</f>
        <v>2.992</v>
      </c>
      <c r="X24" s="80">
        <f>AVERAGE(X19:X23)</f>
        <v>2.992</v>
      </c>
      <c r="Y24" s="80">
        <f>AVERAGE(Y19:Y23)</f>
        <v>2.992</v>
      </c>
      <c r="Z24" s="80">
        <f>AVERAGE(Z19:Z23)</f>
        <v>2.992</v>
      </c>
      <c r="AA24" s="80">
        <f>AVERAGE(AA19:AA23)</f>
        <v>2.992</v>
      </c>
      <c r="AB24" s="80">
        <f>AVERAGE(AB19:AB23)</f>
        <v>2.992</v>
      </c>
      <c r="AC24" s="80">
        <f>AVERAGE(AC19:AC23)</f>
        <v>2.992</v>
      </c>
      <c r="AD24" s="80">
        <f>AVERAGE(AD19:AD23)</f>
        <v>2.992</v>
      </c>
      <c r="AE24" s="80">
        <f>AVERAGE(AE19:AE23)</f>
        <v>2.992</v>
      </c>
      <c r="AF24" s="80">
        <f>AVERAGE(AF19:AF23)</f>
        <v>2.992</v>
      </c>
      <c r="AG24" s="80">
        <f>AVERAGE(AG19:AG23)</f>
        <v>2.992</v>
      </c>
      <c r="AH24" s="80">
        <f>AVERAGE(AH19:AH23)</f>
        <v>2.992</v>
      </c>
      <c r="AI24" s="80">
        <f>AVERAGE(AI19:AI23)</f>
        <v>2.992</v>
      </c>
      <c r="AJ24" s="81"/>
      <c r="AK24" s="82">
        <f>AVERAGE(G24:AJ24)</f>
        <v>2.99141379310345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ht="15" customHeight="1" spans="1:257" x14ac:dyDescent="0.25">
      <c r="A25" s="1"/>
      <c r="B25" s="83"/>
      <c r="C25" s="84"/>
      <c r="D25" s="85"/>
      <c r="E25" s="39"/>
      <c r="F25" s="86" t="s">
        <v>30</v>
      </c>
      <c r="G25" s="87">
        <f>MAX(G19:G23)-MIN(G19:G23)</f>
        <v>0.0300000000000003</v>
      </c>
      <c r="H25" s="88">
        <f>MAX(H19:H23)-MIN(H19:H23)</f>
        <v>0.0600000000000001</v>
      </c>
      <c r="I25" s="88">
        <f>MAX(I19:I23)-MIN(I19:I23)</f>
        <v>0.0600000000000001</v>
      </c>
      <c r="J25" s="88">
        <f>MAX(J19:J23)-MIN(J19:J23)</f>
        <v>0.0600000000000001</v>
      </c>
      <c r="K25" s="88">
        <f>MAX(K19:K23)-MIN(K19:K23)</f>
        <v>0.0600000000000001</v>
      </c>
      <c r="L25" s="88">
        <f>MAX(L19:L23)-MIN(L19:L23)</f>
        <v>0.0600000000000001</v>
      </c>
      <c r="M25" s="88">
        <f>MAX(M19:M23)-MIN(M19:M23)</f>
        <v>0.0600000000000001</v>
      </c>
      <c r="N25" s="88">
        <f>MAX(N19:N23)-MIN(N19:N23)</f>
        <v>0.0600000000000001</v>
      </c>
      <c r="O25" s="88">
        <f>MAX(O19:O23)-MIN(O19:O23)</f>
        <v>0.0600000000000001</v>
      </c>
      <c r="P25" s="88">
        <f>MAX(P19:P23)-MIN(P19:P23)</f>
        <v>0.0600000000000001</v>
      </c>
      <c r="Q25" s="88">
        <f>MAX(Q19:Q23)-MIN(Q19:Q23)</f>
        <v>0.0600000000000001</v>
      </c>
      <c r="R25" s="88">
        <f>MAX(R19:R23)-MIN(R19:R23)</f>
        <v>0.0600000000000001</v>
      </c>
      <c r="S25" s="88">
        <f>MAX(S19:S23)-MIN(S19:S23)</f>
        <v>0.0600000000000001</v>
      </c>
      <c r="T25" s="88">
        <f>MAX(T19:T23)-MIN(T19:T23)</f>
        <v>0.0600000000000001</v>
      </c>
      <c r="U25" s="88">
        <f>MAX(U19:U23)-MIN(U19:U23)</f>
        <v>0.0600000000000001</v>
      </c>
      <c r="V25" s="88">
        <f>MAX(V19:V23)-MIN(V19:V23)</f>
        <v>0.0600000000000001</v>
      </c>
      <c r="W25" s="88">
        <f>MAX(W19:W23)-MIN(W19:W23)</f>
        <v>0.0600000000000001</v>
      </c>
      <c r="X25" s="88">
        <f>MAX(X19:X23)-MIN(X19:X23)</f>
        <v>0.0600000000000001</v>
      </c>
      <c r="Y25" s="88">
        <f>MAX(Y19:Y23)-MIN(Y19:Y23)</f>
        <v>0.0600000000000001</v>
      </c>
      <c r="Z25" s="88">
        <f>MAX(Z19:Z23)-MIN(Z19:Z23)</f>
        <v>0.0600000000000001</v>
      </c>
      <c r="AA25" s="88">
        <f>MAX(AA19:AA23)-MIN(AA19:AA23)</f>
        <v>0.0600000000000001</v>
      </c>
      <c r="AB25" s="88">
        <f>MAX(AB19:AB23)-MIN(AB19:AB23)</f>
        <v>0.0600000000000001</v>
      </c>
      <c r="AC25" s="88">
        <f>MAX(AC19:AC23)-MIN(AC19:AC23)</f>
        <v>0.0600000000000001</v>
      </c>
      <c r="AD25" s="88">
        <f>MAX(AD19:AD23)-MIN(AD19:AD23)</f>
        <v>0.0600000000000001</v>
      </c>
      <c r="AE25" s="88">
        <f>MAX(AE19:AE23)-MIN(AE19:AE23)</f>
        <v>0.0600000000000001</v>
      </c>
      <c r="AF25" s="88">
        <f>MAX(AF19:AF23)-MIN(AF19:AF23)</f>
        <v>0.0600000000000001</v>
      </c>
      <c r="AG25" s="88">
        <f>MAX(AG19:AG23)-MIN(AG19:AG23)</f>
        <v>0.0600000000000001</v>
      </c>
      <c r="AH25" s="88">
        <f>MAX(AH19:AH23)-MIN(AH19:AH23)</f>
        <v>0.0600000000000001</v>
      </c>
      <c r="AI25" s="88">
        <f>MAX(AI19:AI23)-MIN(AI19:AI23)</f>
        <v>0.0600000000000001</v>
      </c>
      <c r="AJ25" s="89"/>
      <c r="AK25" s="90">
        <f>AVERAGE(D25:AJ26)</f>
        <v>0.0589655172413794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ht="5.1" customHeight="1" spans="1:25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ht="18" customHeight="1" spans="1:257" x14ac:dyDescent="0.25">
      <c r="A27" s="1"/>
      <c r="B27" s="91" t="s">
        <v>31</v>
      </c>
      <c r="C27" s="92"/>
      <c r="D27" s="92"/>
      <c r="E27" s="92"/>
      <c r="F27" s="92"/>
      <c r="G27" s="92"/>
      <c r="H27" s="92"/>
      <c r="I27" s="92"/>
      <c r="J27" s="92"/>
      <c r="K27" s="1"/>
      <c r="L27" s="1"/>
      <c r="M27" s="92"/>
      <c r="N27" s="1"/>
      <c r="O27" s="93" t="s">
        <v>32</v>
      </c>
      <c r="P27" s="93"/>
      <c r="Q27" s="93"/>
      <c r="R27" s="93"/>
      <c r="S27" s="93"/>
      <c r="T27" s="93"/>
      <c r="U27" s="93"/>
      <c r="V27" s="94">
        <f>ROUND(W27,0)</f>
      </c>
      <c r="W27" s="95"/>
      <c r="X27" s="93"/>
      <c r="Y27" s="9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ht="14.45" customHeight="1" spans="1:257" x14ac:dyDescent="0.25">
      <c r="A28" s="1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  <c r="O28" s="98" t="s">
        <v>33</v>
      </c>
      <c r="P28" s="98"/>
      <c r="Q28" s="98"/>
      <c r="R28" s="99" t="s">
        <v>34</v>
      </c>
      <c r="S28" s="99"/>
      <c r="T28" s="100" t="s">
        <v>35</v>
      </c>
      <c r="U28" s="100"/>
      <c r="V28" s="1"/>
      <c r="W28" s="4"/>
      <c r="X28" s="4"/>
      <c r="Y28" s="4"/>
      <c r="Z28" s="4"/>
      <c r="AA28" s="4"/>
      <c r="AB28" s="4"/>
      <c r="AC28" s="4"/>
      <c r="AD28" s="4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ht="14.45" customHeight="1" spans="1:257" x14ac:dyDescent="0.25">
      <c r="A29" s="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97"/>
      <c r="O29" s="102" t="s">
        <v>36</v>
      </c>
      <c r="P29" s="102"/>
      <c r="Q29" s="102"/>
      <c r="R29" s="103">
        <f>COUNT($G$19:$AJ$23)</f>
        <v>142</v>
      </c>
      <c r="S29" s="103"/>
      <c r="T29" s="104" t="s">
        <v>37</v>
      </c>
      <c r="U29" s="104"/>
      <c r="V29" s="1"/>
      <c r="W29" s="105"/>
      <c r="X29" s="106"/>
      <c r="Y29" s="107"/>
      <c r="Z29" s="108"/>
      <c r="AA29" s="108"/>
      <c r="AB29" s="109"/>
      <c r="AC29" s="110"/>
      <c r="AD29" s="110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ht="14.45" customHeight="1" spans="1:257" x14ac:dyDescent="0.25">
      <c r="A30" s="1"/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97"/>
      <c r="O30" s="113" t="s">
        <v>38</v>
      </c>
      <c r="P30" s="113"/>
      <c r="Q30" s="113"/>
      <c r="R30" s="114">
        <f>MAX($G$19:$AJ$23)</f>
        <v>3.02</v>
      </c>
      <c r="S30" s="114"/>
      <c r="T30" s="115" t="str">
        <f>IF(OR((C8-C10)&gt;R30,R30&gt;(C8+C9)),"규격이탈","규격만족")</f>
        <v>규격만족</v>
      </c>
      <c r="U30" s="115"/>
      <c r="V30" s="1"/>
      <c r="W30" s="116"/>
      <c r="X30" s="117"/>
      <c r="Y30" s="107"/>
      <c r="Z30" s="108"/>
      <c r="AA30" s="118"/>
      <c r="AB30" s="109"/>
      <c r="AC30" s="110"/>
      <c r="AD30" s="11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ht="14.45" customHeight="1" spans="1:257" x14ac:dyDescent="0.25">
      <c r="A31" s="1"/>
      <c r="B31" s="111"/>
      <c r="C31" s="112"/>
      <c r="D31" s="112"/>
      <c r="E31" s="112"/>
      <c r="F31" s="112"/>
      <c r="G31" s="112"/>
      <c r="H31" s="112"/>
      <c r="I31" s="112"/>
      <c r="J31" s="112"/>
      <c r="K31" s="119"/>
      <c r="L31" s="112"/>
      <c r="M31" s="112"/>
      <c r="N31" s="97"/>
      <c r="O31" s="120" t="s">
        <v>39</v>
      </c>
      <c r="P31" s="120"/>
      <c r="Q31" s="120"/>
      <c r="R31" s="114">
        <f>MIN($G$19:$AJ$23)</f>
        <v>2.96</v>
      </c>
      <c r="S31" s="114"/>
      <c r="T31" s="115" t="str">
        <f>IF(OR((C8-C10)&gt;R31,R31&gt;(C8+C9)),"규격이탈","규격만족")</f>
        <v>규격만족</v>
      </c>
      <c r="U31" s="115"/>
      <c r="V31" s="1"/>
      <c r="W31" s="116"/>
      <c r="X31" s="121"/>
      <c r="Y31" s="107"/>
      <c r="Z31" s="122"/>
      <c r="AA31" s="122"/>
      <c r="AB31" s="123"/>
      <c r="AC31" s="124"/>
      <c r="AD31" s="124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ht="14.45" customHeight="1" spans="1:257" x14ac:dyDescent="0.25">
      <c r="A32" s="1"/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97"/>
      <c r="O32" s="120" t="s">
        <v>40</v>
      </c>
      <c r="P32" s="120"/>
      <c r="Q32" s="120"/>
      <c r="R32" s="125">
        <f>AVERAGE($G$19:$AJ$23)</f>
        <v>2.99176056338028</v>
      </c>
      <c r="S32" s="125"/>
      <c r="T32" s="115" t="str">
        <f>IF(AND((C8-C10)&lt;R32,R32&lt;(C8+C9)),"규격만족","규격이탈")</f>
        <v>규격만족</v>
      </c>
      <c r="U32" s="115"/>
      <c r="V32" s="1"/>
      <c r="W32" s="116"/>
      <c r="X32" s="117"/>
      <c r="Y32" s="107"/>
      <c r="Z32" s="126"/>
      <c r="AA32" s="126"/>
      <c r="AB32" s="109"/>
      <c r="AC32" s="110"/>
      <c r="AD32" s="110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ht="14.45" customHeight="1" spans="1:257" x14ac:dyDescent="0.25">
      <c r="A33" s="1"/>
      <c r="B33" s="111"/>
      <c r="C33" s="112"/>
      <c r="D33" s="112"/>
      <c r="E33" s="112"/>
      <c r="F33" s="112"/>
      <c r="G33" s="112"/>
      <c r="H33" s="112"/>
      <c r="I33" s="112"/>
      <c r="J33" s="112"/>
      <c r="K33" s="127"/>
      <c r="L33" s="112"/>
      <c r="M33" s="112"/>
      <c r="N33" s="97"/>
      <c r="O33" s="128" t="s">
        <v>41</v>
      </c>
      <c r="P33" s="128"/>
      <c r="Q33" s="128"/>
      <c r="R33" s="129">
        <f>STDEVP($G$19:$AJ$23)</f>
        <v>0.021371934201508</v>
      </c>
      <c r="S33" s="129"/>
      <c r="T33" s="130" t="s">
        <v>37</v>
      </c>
      <c r="U33" s="130"/>
      <c r="V33" s="1"/>
      <c r="W33" s="116"/>
      <c r="X33" s="117"/>
      <c r="Y33" s="107"/>
      <c r="Z33" s="108"/>
      <c r="AA33" s="108"/>
      <c r="AB33" s="109"/>
      <c r="AC33" s="110"/>
      <c r="AD33" s="110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ht="14.45" customHeight="1" spans="1:257" x14ac:dyDescent="0.25">
      <c r="A34" s="1"/>
      <c r="B34" s="111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97"/>
      <c r="O34" s="120" t="s">
        <v>42</v>
      </c>
      <c r="P34" s="120"/>
      <c r="Q34" s="120"/>
      <c r="R34" s="125">
        <f>$AK$24+0.58*$AK$25</f>
        <v>3.02561379310345</v>
      </c>
      <c r="S34" s="125"/>
      <c r="T34" s="115" t="str">
        <f>IF(MAX(G24:AJ24)&gt;R34,"관리이탈","관리상태")</f>
        <v>관리상태</v>
      </c>
      <c r="U34" s="115"/>
      <c r="V34" s="1"/>
      <c r="W34" s="116"/>
      <c r="X34" s="117"/>
      <c r="Y34" s="107"/>
      <c r="Z34" s="126"/>
      <c r="AA34" s="126"/>
      <c r="AB34" s="109"/>
      <c r="AC34" s="110"/>
      <c r="AD34" s="110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ht="14.45" customHeight="1" spans="1:257" x14ac:dyDescent="0.25">
      <c r="A35" s="1"/>
      <c r="B35" s="111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97"/>
      <c r="O35" s="120" t="s">
        <v>43</v>
      </c>
      <c r="P35" s="120"/>
      <c r="Q35" s="120"/>
      <c r="R35" s="125">
        <f>$AK$24-0.58*$AK$25</f>
        <v>2.95721379310345</v>
      </c>
      <c r="S35" s="125"/>
      <c r="T35" s="115" t="str">
        <f>IF(MIN(G24:AJ24)&lt;R35,"관리이탈","관리상태")</f>
        <v>관리상태</v>
      </c>
      <c r="U35" s="115"/>
      <c r="V35" s="1"/>
      <c r="W35" s="116"/>
      <c r="X35" s="117"/>
      <c r="Y35" s="107"/>
      <c r="Z35" s="108"/>
      <c r="AA35" s="108"/>
      <c r="AB35" s="109"/>
      <c r="AC35" s="110"/>
      <c r="AD35" s="110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ht="14.45" customHeight="1" spans="1:257" x14ac:dyDescent="0.25">
      <c r="A36" s="1"/>
      <c r="B36" s="111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97"/>
      <c r="O36" s="120" t="s">
        <v>44</v>
      </c>
      <c r="P36" s="120"/>
      <c r="Q36" s="120"/>
      <c r="R36" s="125">
        <f>2.11*$AK$25</f>
        <v>0.12441724137931</v>
      </c>
      <c r="S36" s="125"/>
      <c r="T36" s="130" t="s">
        <v>37</v>
      </c>
      <c r="U36" s="130"/>
      <c r="V36" s="1"/>
      <c r="W36" s="116"/>
      <c r="X36" s="131"/>
      <c r="Y36" s="107"/>
      <c r="Z36" s="118"/>
      <c r="AA36" s="118"/>
      <c r="AB36" s="132"/>
      <c r="AC36" s="133"/>
      <c r="AD36" s="133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ht="14.45" customHeight="1" spans="1:257" x14ac:dyDescent="0.25">
      <c r="A37" s="1"/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97"/>
      <c r="O37" s="120" t="s">
        <v>45</v>
      </c>
      <c r="P37" s="120"/>
      <c r="Q37" s="120"/>
      <c r="R37" s="134">
        <f>IF(C9&lt;&gt;"",((C8+C9)-R32)/3/R33,"NA")</f>
        <v>3.24786446025126</v>
      </c>
      <c r="S37" s="134"/>
      <c r="T37" s="130" t="s">
        <v>37</v>
      </c>
      <c r="U37" s="130"/>
      <c r="V37" s="1"/>
      <c r="W37" s="116"/>
      <c r="X37" s="117"/>
      <c r="Y37" s="107"/>
      <c r="Z37" s="126"/>
      <c r="AA37" s="126"/>
      <c r="AB37" s="109"/>
      <c r="AC37" s="110"/>
      <c r="AD37" s="110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ht="14.45" customHeight="1" spans="1:257" x14ac:dyDescent="0.25">
      <c r="A38" s="1"/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97"/>
      <c r="O38" s="120" t="s">
        <v>46</v>
      </c>
      <c r="P38" s="120"/>
      <c r="Q38" s="120"/>
      <c r="R38" s="134">
        <f>IF(C10&lt;&gt;"",ABS(R32-(C8-C10))/3/R33,"NA")</f>
        <v>2.99084711709982</v>
      </c>
      <c r="S38" s="134"/>
      <c r="T38" s="130" t="s">
        <v>37</v>
      </c>
      <c r="U38" s="130"/>
      <c r="V38" s="1"/>
      <c r="W38" s="116"/>
      <c r="X38" s="117"/>
      <c r="Y38" s="107"/>
      <c r="Z38" s="126"/>
      <c r="AA38" s="126"/>
      <c r="AB38" s="109"/>
      <c r="AC38" s="110"/>
      <c r="AD38" s="110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ht="14.45" customHeight="1" spans="1:257" x14ac:dyDescent="0.25">
      <c r="A39" s="1"/>
      <c r="B39" s="111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97"/>
      <c r="O39" s="135" t="s">
        <v>47</v>
      </c>
      <c r="P39" s="135"/>
      <c r="Q39" s="135"/>
      <c r="R39" s="136">
        <f>IF(OR(C9="",C10="")=TRUE(),MIN(R37:R38),ABS((C8+C9)-(C8-C10))/6/R33)</f>
        <v>3.11935578867554</v>
      </c>
      <c r="S39" s="136"/>
      <c r="T39" s="115" t="str">
        <f>IF(R39&lt;1.33,"불합격","합격")</f>
        <v>합격</v>
      </c>
      <c r="U39" s="115"/>
      <c r="V39" s="1"/>
      <c r="W39" s="116"/>
      <c r="X39" s="117"/>
      <c r="Y39" s="107"/>
      <c r="Z39" s="126"/>
      <c r="AA39" s="126"/>
      <c r="AB39" s="109"/>
      <c r="AC39" s="110"/>
      <c r="AD39" s="110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ht="14.45" customHeight="1" spans="1:257" x14ac:dyDescent="0.25">
      <c r="A40" s="1"/>
      <c r="B40" s="111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97"/>
      <c r="O40" s="135" t="s">
        <v>48</v>
      </c>
      <c r="P40" s="135"/>
      <c r="Q40" s="135"/>
      <c r="R40" s="136">
        <f>MIN(R37:R38)</f>
        <v>2.99084711709982</v>
      </c>
      <c r="S40" s="136"/>
      <c r="T40" s="115" t="str">
        <f>IF(R40&lt;1.33,"불합격","합격")</f>
        <v>합격</v>
      </c>
      <c r="U40" s="115"/>
      <c r="V40" s="1"/>
      <c r="W40" s="116"/>
      <c r="X40" s="117"/>
      <c r="Y40" s="107"/>
      <c r="Z40" s="108"/>
      <c r="AA40" s="118"/>
      <c r="AB40" s="109"/>
      <c r="AC40" s="110"/>
      <c r="AD40" s="110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ht="14.45" customHeight="1" spans="1:257" x14ac:dyDescent="0.25">
      <c r="A41" s="1"/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97"/>
      <c r="O41" s="137" t="s">
        <v>49</v>
      </c>
      <c r="P41" s="137"/>
      <c r="Q41" s="137"/>
      <c r="R41" s="138">
        <f>(1-NORMDIST(C8+C9,R32,R33,TRUE())+NORMDIST((C8-C10),R32,R33,TRUE()))*1000000</f>
        <v>1.448752368016e-13</v>
      </c>
      <c r="S41" s="138"/>
      <c r="T41" s="139" t="s">
        <v>37</v>
      </c>
      <c r="U41" s="139"/>
      <c r="V41" s="1"/>
      <c r="W41" s="116"/>
      <c r="X41" s="121"/>
      <c r="Y41" s="107"/>
      <c r="Z41" s="122"/>
      <c r="AA41" s="122"/>
      <c r="AB41" s="123"/>
      <c r="AC41" s="124"/>
      <c r="AD41" s="124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ht="14.45" customHeight="1" spans="1:257" x14ac:dyDescent="0.25">
      <c r="A42" s="1"/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97"/>
      <c r="O42" s="1"/>
      <c r="P42" s="1"/>
      <c r="Q42" s="1"/>
      <c r="R42" s="1"/>
      <c r="S42" s="1"/>
      <c r="T42" s="1"/>
      <c r="U42" s="1"/>
      <c r="V42" s="1"/>
      <c r="W42" s="116"/>
      <c r="X42" s="117"/>
      <c r="Y42" s="107"/>
      <c r="Z42" s="126"/>
      <c r="AA42" s="126"/>
      <c r="AB42" s="109"/>
      <c r="AC42" s="110"/>
      <c r="AD42" s="110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ht="14.45" customHeight="1" spans="1:257" x14ac:dyDescent="0.25">
      <c r="A43" s="1"/>
      <c r="B43" s="111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97"/>
      <c r="O43" s="1"/>
      <c r="P43" s="1"/>
      <c r="Q43" s="1"/>
      <c r="R43" s="1"/>
      <c r="S43" s="1"/>
      <c r="T43" s="94" t="e">
        <f>ROUND(U43,0)</f>
        <v>#VALUE!</v>
      </c>
      <c r="U43" s="95" t="e">
        <f>SQRT(R28)</f>
        <v>#VALUE!</v>
      </c>
      <c r="V43" s="1"/>
      <c r="W43" s="116"/>
      <c r="X43" s="131"/>
      <c r="Y43" s="107"/>
      <c r="Z43" s="108"/>
      <c r="AA43" s="108"/>
      <c r="AB43" s="109"/>
      <c r="AC43" s="110"/>
      <c r="AD43" s="110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ht="14.45" customHeight="1" spans="1:257" x14ac:dyDescent="0.25">
      <c r="A44" s="1"/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97"/>
      <c r="O44" s="1"/>
      <c r="P44" s="1"/>
      <c r="Q44" s="1"/>
      <c r="R44" s="1"/>
      <c r="S44" s="1"/>
      <c r="T44" s="22" t="e">
        <f>(R29-R30)/T43</f>
        <v>#VALUE!</v>
      </c>
      <c r="U44" s="142" t="e">
        <f>ROUNDUP(T44,1)</f>
        <v>#VALUE!</v>
      </c>
      <c r="V44" s="1"/>
      <c r="W44" s="4"/>
      <c r="X44" s="29"/>
      <c r="Y44" s="4"/>
      <c r="Z44" s="4"/>
      <c r="AA44" s="4"/>
      <c r="AB44" s="4"/>
      <c r="AC44" s="143"/>
      <c r="AD44" s="143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ht="7.5" customHeight="1" spans="1:257" x14ac:dyDescent="0.2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ht="12" customHeight="1" spans="1:257" x14ac:dyDescent="0.25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6"/>
      <c r="AD46" s="146"/>
      <c r="AE46" s="146"/>
      <c r="AF46" s="145"/>
      <c r="AG46" s="145"/>
      <c r="AH46" s="145"/>
      <c r="AI46" s="145"/>
      <c r="AJ46" s="145"/>
      <c r="AK46" s="147" t="s">
        <v>50</v>
      </c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  <c r="GF46" s="145"/>
      <c r="GG46" s="145"/>
      <c r="GH46" s="145"/>
      <c r="GI46" s="145"/>
      <c r="GJ46" s="145"/>
      <c r="GK46" s="145"/>
      <c r="GL46" s="145"/>
      <c r="GM46" s="145"/>
      <c r="GN46" s="145"/>
      <c r="GO46" s="145"/>
      <c r="GP46" s="145"/>
      <c r="GQ46" s="145"/>
      <c r="GR46" s="145"/>
      <c r="GS46" s="145"/>
      <c r="GT46" s="145"/>
      <c r="GU46" s="145"/>
      <c r="GV46" s="145"/>
      <c r="GW46" s="145"/>
      <c r="GX46" s="145"/>
      <c r="GY46" s="145"/>
      <c r="GZ46" s="145"/>
      <c r="HA46" s="145"/>
      <c r="HB46" s="145"/>
      <c r="HC46" s="145"/>
      <c r="HD46" s="145"/>
      <c r="HE46" s="145"/>
      <c r="HF46" s="145"/>
      <c r="HG46" s="145"/>
      <c r="HH46" s="145"/>
      <c r="HI46" s="145"/>
      <c r="HJ46" s="145"/>
      <c r="HK46" s="145"/>
      <c r="HL46" s="145"/>
      <c r="HM46" s="145"/>
      <c r="HN46" s="145"/>
      <c r="HO46" s="145"/>
      <c r="HP46" s="145"/>
      <c r="HQ46" s="145"/>
      <c r="HR46" s="145"/>
      <c r="HS46" s="145"/>
      <c r="HT46" s="145"/>
      <c r="HU46" s="145"/>
      <c r="HV46" s="145"/>
      <c r="HW46" s="145"/>
      <c r="HX46" s="145"/>
      <c r="HY46" s="145"/>
      <c r="HZ46" s="145"/>
      <c r="IA46" s="145"/>
      <c r="IB46" s="145"/>
      <c r="IC46" s="145"/>
      <c r="ID46" s="145"/>
      <c r="IE46" s="145"/>
      <c r="IF46" s="145"/>
      <c r="IG46" s="145"/>
      <c r="IH46" s="145"/>
      <c r="II46" s="145"/>
      <c r="IJ46" s="145"/>
      <c r="IK46" s="145"/>
      <c r="IL46" s="145"/>
      <c r="IM46" s="145"/>
      <c r="IN46" s="145"/>
      <c r="IO46" s="145"/>
      <c r="IP46" s="145"/>
      <c r="IQ46" s="145"/>
      <c r="IR46" s="145"/>
      <c r="IS46" s="145"/>
      <c r="IT46" s="145"/>
      <c r="IU46" s="145"/>
      <c r="IV46" s="145"/>
      <c r="IW46" s="145"/>
    </row>
    <row r="47" ht="12" customHeight="1" spans="1:257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6"/>
      <c r="AD47" s="146"/>
      <c r="AE47" s="146"/>
      <c r="AF47" s="145"/>
      <c r="AG47" s="145"/>
      <c r="AH47" s="145"/>
      <c r="AI47" s="145"/>
      <c r="AJ47" s="145"/>
      <c r="AK47" s="147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  <c r="GF47" s="145"/>
      <c r="GG47" s="145"/>
      <c r="GH47" s="145"/>
      <c r="GI47" s="145"/>
      <c r="GJ47" s="145"/>
      <c r="GK47" s="145"/>
      <c r="GL47" s="145"/>
      <c r="GM47" s="145"/>
      <c r="GN47" s="145"/>
      <c r="GO47" s="145"/>
      <c r="GP47" s="145"/>
      <c r="GQ47" s="145"/>
      <c r="GR47" s="145"/>
      <c r="GS47" s="145"/>
      <c r="GT47" s="145"/>
      <c r="GU47" s="145"/>
      <c r="GV47" s="145"/>
      <c r="GW47" s="145"/>
      <c r="GX47" s="145"/>
      <c r="GY47" s="145"/>
      <c r="GZ47" s="145"/>
      <c r="HA47" s="145"/>
      <c r="HB47" s="145"/>
      <c r="HC47" s="145"/>
      <c r="HD47" s="145"/>
      <c r="HE47" s="145"/>
      <c r="HF47" s="145"/>
      <c r="HG47" s="145"/>
      <c r="HH47" s="145"/>
      <c r="HI47" s="145"/>
      <c r="HJ47" s="145"/>
      <c r="HK47" s="145"/>
      <c r="HL47" s="145"/>
      <c r="HM47" s="145"/>
      <c r="HN47" s="145"/>
      <c r="HO47" s="145"/>
      <c r="HP47" s="145"/>
      <c r="HQ47" s="145"/>
      <c r="HR47" s="145"/>
      <c r="HS47" s="145"/>
      <c r="HT47" s="145"/>
      <c r="HU47" s="145"/>
      <c r="HV47" s="145"/>
      <c r="HW47" s="145"/>
      <c r="HX47" s="145"/>
      <c r="HY47" s="145"/>
      <c r="HZ47" s="145"/>
      <c r="IA47" s="145"/>
      <c r="IB47" s="145"/>
      <c r="IC47" s="145"/>
      <c r="ID47" s="145"/>
      <c r="IE47" s="145"/>
      <c r="IF47" s="145"/>
      <c r="IG47" s="145"/>
      <c r="IH47" s="145"/>
      <c r="II47" s="145"/>
      <c r="IJ47" s="145"/>
      <c r="IK47" s="145"/>
      <c r="IL47" s="145"/>
      <c r="IM47" s="145"/>
      <c r="IN47" s="145"/>
      <c r="IO47" s="145"/>
      <c r="IP47" s="145"/>
      <c r="IQ47" s="145"/>
      <c r="IR47" s="145"/>
      <c r="IS47" s="145"/>
      <c r="IT47" s="145"/>
      <c r="IU47" s="145"/>
      <c r="IV47" s="145"/>
      <c r="IW47" s="145"/>
    </row>
    <row r="48" ht="12" customHeight="1" spans="1:257" x14ac:dyDescent="0.25">
      <c r="A48" s="1"/>
      <c r="B48" s="1"/>
      <c r="C48" s="1"/>
      <c r="D48" s="1"/>
      <c r="E48" s="1"/>
      <c r="F48" s="1"/>
      <c r="G48" s="148">
        <f>$AK$24+0.58*$AK$25</f>
        <v>3.02561379310345</v>
      </c>
      <c r="H48" s="149">
        <f>$AK$24+0.58*$AK$25</f>
        <v>3.02561379310345</v>
      </c>
      <c r="I48" s="149">
        <f>$AK$24+0.58*$AK$25</f>
        <v>3.02561379310345</v>
      </c>
      <c r="J48" s="149">
        <f>$AK$24+0.58*$AK$25</f>
        <v>3.02561379310345</v>
      </c>
      <c r="K48" s="150">
        <f>$AK$24+0.58*$AK$25</f>
        <v>3.02561379310345</v>
      </c>
      <c r="L48" s="150">
        <f>$AK$24+0.58*$AK$25</f>
        <v>3.02561379310345</v>
      </c>
      <c r="M48" s="150">
        <f>$AK$24+0.58*$AK$25</f>
        <v>3.02561379310345</v>
      </c>
      <c r="N48" s="150">
        <f>$AK$24+0.58*$AK$25</f>
        <v>3.02561379310345</v>
      </c>
      <c r="O48" s="150">
        <f>$AK$24+0.58*$AK$25</f>
        <v>3.02561379310345</v>
      </c>
      <c r="P48" s="150">
        <f>$AK$24+0.58*$AK$25</f>
        <v>3.02561379310345</v>
      </c>
      <c r="Q48" s="150">
        <f>$AK$24+0.58*$AK$25</f>
        <v>3.02561379310345</v>
      </c>
      <c r="R48" s="150">
        <f>$AK$24+0.58*$AK$25</f>
        <v>3.02561379310345</v>
      </c>
      <c r="S48" s="150">
        <f>$AK$24+0.58*$AK$25</f>
        <v>3.02561379310345</v>
      </c>
      <c r="T48" s="150">
        <f>$AK$24+0.58*$AK$25</f>
        <v>3.02561379310345</v>
      </c>
      <c r="U48" s="150">
        <f>$AK$24+0.58*$AK$25</f>
        <v>3.02561379310345</v>
      </c>
      <c r="V48" s="150">
        <f>$AK$24+0.58*$AK$25</f>
        <v>3.02561379310345</v>
      </c>
      <c r="W48" s="150">
        <f>$AK$24+0.58*$AK$25</f>
        <v>3.02561379310345</v>
      </c>
      <c r="X48" s="150">
        <f>$AK$24+0.58*$AK$25</f>
        <v>3.02561379310345</v>
      </c>
      <c r="Y48" s="150">
        <f>$AK$24+0.58*$AK$25</f>
        <v>3.02561379310345</v>
      </c>
      <c r="Z48" s="150">
        <f>$AK$24+0.58*$AK$25</f>
        <v>3.02561379310345</v>
      </c>
      <c r="AA48" s="150">
        <f>$AK$24+0.58*$AK$25</f>
        <v>3.02561379310345</v>
      </c>
      <c r="AB48" s="150">
        <f>$AK$24+0.58*$AK$25</f>
        <v>3.02561379310345</v>
      </c>
      <c r="AC48" s="150">
        <f>$AK$24+0.58*$AK$25</f>
        <v>3.02561379310345</v>
      </c>
      <c r="AD48" s="150">
        <f>$AK$24+0.58*$AK$25</f>
        <v>3.02561379310345</v>
      </c>
      <c r="AE48" s="150">
        <f>$AK$24+0.58*$AK$25</f>
        <v>3.02561379310345</v>
      </c>
      <c r="AF48" s="150">
        <f>$AK$24+0.58*$AK$25</f>
        <v>3.02561379310345</v>
      </c>
      <c r="AG48" s="150">
        <f>$AK$24+0.58*$AK$25</f>
        <v>3.02561379310345</v>
      </c>
      <c r="AH48" s="150">
        <f>$AK$24+0.58*$AK$25</f>
        <v>3.02561379310345</v>
      </c>
      <c r="AI48" s="150">
        <f>$AK$24+0.58*$AK$25</f>
        <v>3.02561379310345</v>
      </c>
      <c r="AJ48" s="151">
        <f>$AK$24+0.58*$AK$25</f>
        <v>3.02561379310345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ht="12" customHeight="1" spans="1:257" x14ac:dyDescent="0.25">
      <c r="A49" s="1"/>
      <c r="B49" s="1"/>
      <c r="C49" s="1"/>
      <c r="D49" s="1"/>
      <c r="E49" s="1"/>
      <c r="F49" s="1"/>
      <c r="G49" s="152">
        <f>$AK$24</f>
        <v>2.99141379310345</v>
      </c>
      <c r="H49" s="153">
        <f>$AK$24</f>
        <v>2.99141379310345</v>
      </c>
      <c r="I49" s="153">
        <f>$AK$24</f>
        <v>2.99141379310345</v>
      </c>
      <c r="J49" s="153">
        <f>$AK$24</f>
        <v>2.99141379310345</v>
      </c>
      <c r="K49" s="154">
        <f>$AK$24</f>
        <v>2.99141379310345</v>
      </c>
      <c r="L49" s="154">
        <f>$AK$24</f>
        <v>2.99141379310345</v>
      </c>
      <c r="M49" s="154">
        <f>$AK$24</f>
        <v>2.99141379310345</v>
      </c>
      <c r="N49" s="154">
        <f>$AK$24</f>
        <v>2.99141379310345</v>
      </c>
      <c r="O49" s="154">
        <f>$AK$24</f>
        <v>2.99141379310345</v>
      </c>
      <c r="P49" s="154">
        <f>$AK$24</f>
        <v>2.99141379310345</v>
      </c>
      <c r="Q49" s="154">
        <f>$AK$24</f>
        <v>2.99141379310345</v>
      </c>
      <c r="R49" s="154">
        <f>$AK$24</f>
        <v>2.99141379310345</v>
      </c>
      <c r="S49" s="154">
        <f>$AK$24</f>
        <v>2.99141379310345</v>
      </c>
      <c r="T49" s="154">
        <f>$AK$24</f>
        <v>2.99141379310345</v>
      </c>
      <c r="U49" s="154">
        <f>$AK$24</f>
        <v>2.99141379310345</v>
      </c>
      <c r="V49" s="154">
        <f>$AK$24</f>
        <v>2.99141379310345</v>
      </c>
      <c r="W49" s="154">
        <f>$AK$24</f>
        <v>2.99141379310345</v>
      </c>
      <c r="X49" s="154">
        <f>$AK$24</f>
        <v>2.99141379310345</v>
      </c>
      <c r="Y49" s="154">
        <f>$AK$24</f>
        <v>2.99141379310345</v>
      </c>
      <c r="Z49" s="154">
        <f>$AK$24</f>
        <v>2.99141379310345</v>
      </c>
      <c r="AA49" s="154">
        <f>$AK$24</f>
        <v>2.99141379310345</v>
      </c>
      <c r="AB49" s="154">
        <f>$AK$24</f>
        <v>2.99141379310345</v>
      </c>
      <c r="AC49" s="154">
        <f>$AK$24</f>
        <v>2.99141379310345</v>
      </c>
      <c r="AD49" s="154">
        <f>$AK$24</f>
        <v>2.99141379310345</v>
      </c>
      <c r="AE49" s="154">
        <f>$AK$24</f>
        <v>2.99141379310345</v>
      </c>
      <c r="AF49" s="154">
        <f>$AK$24</f>
        <v>2.99141379310345</v>
      </c>
      <c r="AG49" s="154">
        <f>$AK$24</f>
        <v>2.99141379310345</v>
      </c>
      <c r="AH49" s="154">
        <f>$AK$24</f>
        <v>2.99141379310345</v>
      </c>
      <c r="AI49" s="154">
        <f>$AK$24</f>
        <v>2.99141379310345</v>
      </c>
      <c r="AJ49" s="155">
        <f>$AK$24</f>
        <v>2.99141379310345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ht="12" customHeight="1" spans="1:257" x14ac:dyDescent="0.25">
      <c r="A50" s="1"/>
      <c r="B50" s="1"/>
      <c r="C50" s="1"/>
      <c r="D50" s="1"/>
      <c r="E50" s="1"/>
      <c r="F50" s="1"/>
      <c r="G50" s="152">
        <f>$AK$24-0.58*$AK$25</f>
        <v>2.95721379310345</v>
      </c>
      <c r="H50" s="153">
        <f>$AK$24-0.58*$AK$25</f>
        <v>2.95721379310345</v>
      </c>
      <c r="I50" s="153">
        <f>$AK$24-0.58*$AK$25</f>
        <v>2.95721379310345</v>
      </c>
      <c r="J50" s="153">
        <f>$AK$24-0.58*$AK$25</f>
        <v>2.95721379310345</v>
      </c>
      <c r="K50" s="154">
        <f>$AK$24-0.58*$AK$25</f>
        <v>2.95721379310345</v>
      </c>
      <c r="L50" s="154">
        <f>$AK$24-0.58*$AK$25</f>
        <v>2.95721379310345</v>
      </c>
      <c r="M50" s="154">
        <f>$AK$24-0.58*$AK$25</f>
        <v>2.95721379310345</v>
      </c>
      <c r="N50" s="154">
        <f>$AK$24-0.58*$AK$25</f>
        <v>2.95721379310345</v>
      </c>
      <c r="O50" s="154">
        <f>$AK$24-0.58*$AK$25</f>
        <v>2.95721379310345</v>
      </c>
      <c r="P50" s="154">
        <f>$AK$24-0.58*$AK$25</f>
        <v>2.95721379310345</v>
      </c>
      <c r="Q50" s="154">
        <f>$AK$24-0.58*$AK$25</f>
        <v>2.95721379310345</v>
      </c>
      <c r="R50" s="154">
        <f>$AK$24-0.58*$AK$25</f>
        <v>2.95721379310345</v>
      </c>
      <c r="S50" s="154">
        <f>$AK$24-0.58*$AK$25</f>
        <v>2.95721379310345</v>
      </c>
      <c r="T50" s="154">
        <f>$AK$24-0.58*$AK$25</f>
        <v>2.95721379310345</v>
      </c>
      <c r="U50" s="154">
        <f>$AK$24-0.58*$AK$25</f>
        <v>2.95721379310345</v>
      </c>
      <c r="V50" s="154">
        <f>$AK$24-0.58*$AK$25</f>
        <v>2.95721379310345</v>
      </c>
      <c r="W50" s="154">
        <f>$AK$24-0.58*$AK$25</f>
        <v>2.95721379310345</v>
      </c>
      <c r="X50" s="154">
        <f>$AK$24-0.58*$AK$25</f>
        <v>2.95721379310345</v>
      </c>
      <c r="Y50" s="154">
        <f>$AK$24-0.58*$AK$25</f>
        <v>2.95721379310345</v>
      </c>
      <c r="Z50" s="154">
        <f>$AK$24-0.58*$AK$25</f>
        <v>2.95721379310345</v>
      </c>
      <c r="AA50" s="154">
        <f>$AK$24-0.58*$AK$25</f>
        <v>2.95721379310345</v>
      </c>
      <c r="AB50" s="154">
        <f>$AK$24-0.58*$AK$25</f>
        <v>2.95721379310345</v>
      </c>
      <c r="AC50" s="154">
        <f>$AK$24-0.58*$AK$25</f>
        <v>2.95721379310345</v>
      </c>
      <c r="AD50" s="154">
        <f>$AK$24-0.58*$AK$25</f>
        <v>2.95721379310345</v>
      </c>
      <c r="AE50" s="154">
        <f>$AK$24-0.58*$AK$25</f>
        <v>2.95721379310345</v>
      </c>
      <c r="AF50" s="154">
        <f>$AK$24-0.58*$AK$25</f>
        <v>2.95721379310345</v>
      </c>
      <c r="AG50" s="154">
        <f>$AK$24-0.58*$AK$25</f>
        <v>2.95721379310345</v>
      </c>
      <c r="AH50" s="154">
        <f>$AK$24-0.58*$AK$25</f>
        <v>2.95721379310345</v>
      </c>
      <c r="AI50" s="154">
        <f>$AK$24-0.58*$AK$25</f>
        <v>2.95721379310345</v>
      </c>
      <c r="AJ50" s="155">
        <f>$AK$24-0.58*$AK$25</f>
        <v>2.95721379310345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ht="12" customHeight="1" spans="1:257" x14ac:dyDescent="0.25">
      <c r="A51" s="1"/>
      <c r="B51" s="1"/>
      <c r="C51" s="1"/>
      <c r="D51" s="1"/>
      <c r="E51" s="1"/>
      <c r="F51" s="1"/>
      <c r="G51" s="152"/>
      <c r="H51" s="153"/>
      <c r="I51" s="153"/>
      <c r="J51" s="153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5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ht="12.75" customHeight="1" spans="1:257" x14ac:dyDescent="0.25">
      <c r="A52" s="1"/>
      <c r="B52" s="1"/>
      <c r="C52" s="1"/>
      <c r="D52" s="1"/>
      <c r="E52" s="1"/>
      <c r="F52" s="1"/>
      <c r="G52" s="156">
        <f>2.11*$AK$25</f>
        <v>0.12441724137931</v>
      </c>
      <c r="H52" s="157">
        <f>2.11*$AK$25</f>
        <v>0.12441724137931</v>
      </c>
      <c r="I52" s="157">
        <f>2.11*$AK$25</f>
        <v>0.12441724137931</v>
      </c>
      <c r="J52" s="157">
        <f>2.11*$AK$25</f>
        <v>0.12441724137931</v>
      </c>
      <c r="K52" s="158">
        <f>2.11*$AK$25</f>
        <v>0.12441724137931</v>
      </c>
      <c r="L52" s="158">
        <f>2.11*$AK$25</f>
        <v>0.12441724137931</v>
      </c>
      <c r="M52" s="158">
        <f>2.11*$AK$25</f>
        <v>0.12441724137931</v>
      </c>
      <c r="N52" s="158">
        <f>2.11*$AK$25</f>
        <v>0.12441724137931</v>
      </c>
      <c r="O52" s="158">
        <f>2.11*$AK$25</f>
        <v>0.12441724137931</v>
      </c>
      <c r="P52" s="158">
        <f>2.11*$AK$25</f>
        <v>0.12441724137931</v>
      </c>
      <c r="Q52" s="158">
        <f>2.11*$AK$25</f>
        <v>0.12441724137931</v>
      </c>
      <c r="R52" s="158">
        <f>2.11*$AK$25</f>
        <v>0.12441724137931</v>
      </c>
      <c r="S52" s="158">
        <f>2.11*$AK$25</f>
        <v>0.12441724137931</v>
      </c>
      <c r="T52" s="158">
        <f>2.11*$AK$25</f>
        <v>0.12441724137931</v>
      </c>
      <c r="U52" s="158">
        <f>2.11*$AK$25</f>
        <v>0.12441724137931</v>
      </c>
      <c r="V52" s="158">
        <f>2.11*$AK$25</f>
        <v>0.12441724137931</v>
      </c>
      <c r="W52" s="158">
        <f>2.11*$AK$25</f>
        <v>0.12441724137931</v>
      </c>
      <c r="X52" s="158">
        <f>2.11*$AK$25</f>
        <v>0.12441724137931</v>
      </c>
      <c r="Y52" s="158">
        <f>2.11*$AK$25</f>
        <v>0.12441724137931</v>
      </c>
      <c r="Z52" s="158">
        <f>2.11*$AK$25</f>
        <v>0.12441724137931</v>
      </c>
      <c r="AA52" s="158">
        <f>2.11*$AK$25</f>
        <v>0.12441724137931</v>
      </c>
      <c r="AB52" s="158">
        <f>2.11*$AK$25</f>
        <v>0.12441724137931</v>
      </c>
      <c r="AC52" s="158">
        <f>2.11*$AK$25</f>
        <v>0.12441724137931</v>
      </c>
      <c r="AD52" s="158">
        <f>2.11*$AK$25</f>
        <v>0.12441724137931</v>
      </c>
      <c r="AE52" s="158">
        <f>2.11*$AK$25</f>
        <v>0.12441724137931</v>
      </c>
      <c r="AF52" s="158">
        <f>2.11*$AK$25</f>
        <v>0.12441724137931</v>
      </c>
      <c r="AG52" s="158">
        <f>2.11*$AK$25</f>
        <v>0.12441724137931</v>
      </c>
      <c r="AH52" s="158">
        <f>2.11*$AK$25</f>
        <v>0.12441724137931</v>
      </c>
      <c r="AI52" s="158">
        <f>2.11*$AK$25</f>
        <v>0.12441724137931</v>
      </c>
      <c r="AJ52" s="159">
        <f>2.11*$AK$25</f>
        <v>0.12441724137931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</sheetData>
  <mergeCells count="62">
    <mergeCell ref="J1:A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O27:U27"/>
    <mergeCell ref="B28:M28"/>
    <mergeCell ref="O28:Q28"/>
    <mergeCell ref="R28:S28"/>
    <mergeCell ref="T28:U28"/>
    <mergeCell ref="B29:M29"/>
    <mergeCell ref="O29:Q29"/>
    <mergeCell ref="R29:S29"/>
    <mergeCell ref="T29:U29"/>
    <mergeCell ref="O30:Q30"/>
    <mergeCell ref="R30:S30"/>
    <mergeCell ref="T30:U30"/>
    <mergeCell ref="O31:Q31"/>
    <mergeCell ref="R31:S31"/>
    <mergeCell ref="T31:U31"/>
    <mergeCell ref="O32:Q32"/>
    <mergeCell ref="R32:S32"/>
    <mergeCell ref="T32:U32"/>
    <mergeCell ref="O33:Q33"/>
    <mergeCell ref="R33:S33"/>
    <mergeCell ref="T33:U33"/>
    <mergeCell ref="O34:Q34"/>
    <mergeCell ref="R34:S34"/>
    <mergeCell ref="T34:U34"/>
    <mergeCell ref="O35:Q35"/>
    <mergeCell ref="R35:S35"/>
    <mergeCell ref="T35:U35"/>
    <mergeCell ref="O36:Q36"/>
    <mergeCell ref="R36:S36"/>
    <mergeCell ref="T36:U36"/>
    <mergeCell ref="O37:Q37"/>
    <mergeCell ref="R37:S37"/>
    <mergeCell ref="T37:U37"/>
    <mergeCell ref="O38:Q38"/>
    <mergeCell ref="R38:S38"/>
    <mergeCell ref="T38:U38"/>
    <mergeCell ref="O39:Q39"/>
    <mergeCell ref="R39:S39"/>
    <mergeCell ref="T39:U39"/>
    <mergeCell ref="O40:Q40"/>
    <mergeCell ref="R40:S40"/>
    <mergeCell ref="T40:U40"/>
    <mergeCell ref="O41:Q41"/>
    <mergeCell ref="R41:S41"/>
    <mergeCell ref="T41:U41"/>
  </mergeCells>
  <pageMargins left="0.429861111111111" right="0.479861111111111" top="0.440277777777778" bottom="0.229861111111111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L-4101-01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2026-08-23T11:25:08Z</dcterms:created>
  <dcterms:modified xsi:type="dcterms:W3CDTF">2026-08-23T11:25:08Z</dcterms:modified>
</cp:coreProperties>
</file>