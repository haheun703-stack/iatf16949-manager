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1200-08" state="visible" r:id="rId4"/>
  </sheets>
  <calcPr calcId="171027"/>
</workbook>
</file>

<file path=xl/sharedStrings.xml><?xml version="1.0" encoding="utf-8"?>
<sst xmlns="http://schemas.openxmlformats.org/spreadsheetml/2006/main" count="99" uniqueCount="64">
  <si>
    <t>용접 포인트별 용접장 기준 팁 교환 주기 평가서 (갑지)</t>
  </si>
  <si>
    <t xml:space="preserve">결
재</t>
  </si>
  <si>
    <t>담 당</t>
  </si>
  <si>
    <t>팀 장</t>
  </si>
  <si>
    <t>차 종</t>
  </si>
  <si>
    <t>LX3</t>
  </si>
  <si>
    <t>품 명</t>
  </si>
  <si>
    <t>CONV / CDC / XRT (FRT)</t>
  </si>
  <si>
    <t>품 번</t>
  </si>
  <si>
    <t>4972028139/40 , 4972029005/06 , 4972029131/32</t>
  </si>
  <si>
    <t>공정명</t>
  </si>
  <si>
    <t>구  분</t>
  </si>
  <si>
    <t>작업수량 (용접 타점수)</t>
  </si>
  <si>
    <t>용접부 상세</t>
  </si>
  <si>
    <t>신 품</t>
  </si>
  <si>
    <t>330 회</t>
  </si>
  <si>
    <t>578 회</t>
  </si>
  <si>
    <t>958 회</t>
  </si>
  <si>
    <t xml:space="preserve">1,103 회
(용접구간 이탈)</t>
  </si>
  <si>
    <t xml:space="preserve">#40
8축 자동 용접기</t>
  </si>
  <si>
    <t>팁 마모율 (mm)</t>
  </si>
  <si>
    <t>Φ1.2</t>
  </si>
  <si>
    <t>Φ1.35</t>
  </si>
  <si>
    <t>Φ1.37</t>
  </si>
  <si>
    <t>Φ1.40</t>
  </si>
  <si>
    <t>Φ1.45</t>
  </si>
  <si>
    <t>용접장(길이) 사용량 (mm)</t>
  </si>
  <si>
    <t>1회 타점 : 190mm</t>
  </si>
  <si>
    <t>1회 타점 : 195mm</t>
  </si>
  <si>
    <t>용접장(길이) 소계 (mm)</t>
  </si>
  <si>
    <t>2회 타점 : 385mm</t>
  </si>
  <si>
    <t>변화율 (%)</t>
  </si>
  <si>
    <t>-</t>
  </si>
  <si>
    <t xml:space="preserve">팀 고품사진
(현미경 측정)</t>
  </si>
  <si>
    <t>1,103 회</t>
  </si>
  <si>
    <t>2,050회</t>
  </si>
  <si>
    <t>3,115 회</t>
  </si>
  <si>
    <t>4,010 회</t>
  </si>
  <si>
    <t>4,382 회</t>
  </si>
  <si>
    <t>4,609 회</t>
  </si>
  <si>
    <t xml:space="preserve">4,955 회
(용접구간 이탈)</t>
  </si>
  <si>
    <t xml:space="preserve">#100
스테비 용접기</t>
  </si>
  <si>
    <t>Φ1.33</t>
  </si>
  <si>
    <t>Φ1.36</t>
  </si>
  <si>
    <t>Φ1.39</t>
  </si>
  <si>
    <t>Φ1.41</t>
  </si>
  <si>
    <t>Φ1.42</t>
  </si>
  <si>
    <t>Φ1.44</t>
  </si>
  <si>
    <t>2회 타점 : 80mm</t>
  </si>
  <si>
    <t xml:space="preserve">4,382 회
(용접구간 이탈)</t>
  </si>
  <si>
    <t xml:space="preserve">#110
댐퍼 용접기</t>
  </si>
  <si>
    <t>Φ1.38</t>
  </si>
  <si>
    <t>2회 타점 : 90mm</t>
  </si>
  <si>
    <t>용접 포인트별 용접장 기준 팁 교환 주기 평가서 (을지)</t>
  </si>
  <si>
    <t>도면 기준 용접부별 용접장 도식화</t>
  </si>
  <si>
    <t>팁 마모도 관리 SPEC</t>
  </si>
  <si>
    <t>공 정 명</t>
  </si>
  <si>
    <t>팁 교환주기 설정 근거</t>
  </si>
  <si>
    <t>팀 교환주기</t>
  </si>
  <si>
    <t xml:space="preserve">1,103회(Φ1.45mm) 용접 이탈
1,103회 × 안전율 10% = 992개</t>
  </si>
  <si>
    <t>1,000개/회</t>
  </si>
  <si>
    <t xml:space="preserve">4,955회(Φ1.44mm) 용접 이탈
4,955회 × 안전율 10% = 4,459개</t>
  </si>
  <si>
    <t xml:space="preserve">관리효율 감안
4,000개/회
통일 관리</t>
  </si>
  <si>
    <t xml:space="preserve">4,382회(Φ1.44mm) 용접 이탈
4,382회 × 안전율 10% = 3,943개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</si>
</sst>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* #,##0_-;-* #,##0_-;_-* &quot;-&quot;_-;_-@_-"/>
  </numFmts>
  <fonts count="7" x14ac:knownFonts="1">
    <font>
      <color theme="1"/>
      <family val="2"/>
      <scheme val="minor"/>
      <sz val="11"/>
      <name val="Calibri"/>
    </font>
    <font>
      <charset val="129"/>
      <family val="1"/>
      <sz val="10"/>
      <name val="HY헤드라인M"/>
    </font>
    <font>
      <charset val="129"/>
      <color theme="0"/>
      <family val="1"/>
      <sz val="28"/>
      <name val="HY헤드라인M"/>
    </font>
    <font>
      <charset val="129"/>
      <color rgb="FFFF0000"/>
      <family val="1"/>
      <sz val="9"/>
      <name val="HY헤드라인M"/>
    </font>
    <font>
      <charset val="129"/>
      <color rgb="FFFF0000"/>
      <family val="1"/>
      <sz val="10"/>
      <name val="HY헤드라인M"/>
    </font>
    <font>
      <charset val="129"/>
      <color theme="1"/>
      <family val="1"/>
      <sz val="10"/>
      <name val="HY헤드라인M"/>
    </font>
    <font>
      <charset val="129"/>
      <color theme="0" tint="-0.0499893185216834"/>
      <family val="1"/>
      <sz val="14"/>
      <name val="HY헤드라인M"/>
    </font>
  </fonts>
  <fills count="15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8" tint="0.3999755851924192"/>
        <bgColor indexed="64"/>
      </patternFill>
    </fill>
  </fills>
  <borders count="28">
    <border>
      <left/>
      <right/>
      <top/>
      <bottom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thin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thin"/>
      <right/>
      <top style="thin"/>
      <bottom style="medium"/>
      <diagonal/>
    </border>
    <border>
      <left style="medium"/>
      <right style="thin"/>
      <top style="thin"/>
      <bottom style="thin"/>
      <diagonal/>
    </border>
    <border>
      <left style="thin"/>
      <right/>
      <top style="medium"/>
      <bottom style="thin"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/>
      <right style="thin"/>
      <top style="medium"/>
      <bottom/>
      <diagonal/>
    </border>
    <border>
      <left style="medium"/>
      <right/>
      <top style="medium"/>
      <bottom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 style="medium">
        <color indexed="64"/>
      </left>
      <right/>
      <top/>
      <bottom/>
      <diagonal/>
    </border>
    <border>
      <left style="thin"/>
      <right/>
      <top style="thin"/>
      <bottom style="thin"/>
      <diagonal/>
    </border>
    <border>
      <left/>
      <right style="medium"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/>
      <right/>
      <top/>
      <bottom style="medium"/>
      <diagonal/>
    </border>
    <border>
      <left/>
      <right/>
      <top/>
      <bottom style="medium"/>
      <diagonal/>
    </border>
    <border>
      <left/>
      <right style="medium"/>
      <top/>
      <bottom style="medium"/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shrinkToFit="1"/>
    </xf>
    <xf numFmtId="0" fontId="1" fillId="5" borderId="3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 shrinkToFit="1"/>
    </xf>
    <xf numFmtId="0" fontId="1" fillId="6" borderId="3" xfId="0" applyFont="1" applyFill="1" applyBorder="1" applyAlignment="1">
      <alignment horizontal="center" vertical="center"/>
    </xf>
    <xf numFmtId="164" fontId="1" fillId="6" borderId="3" xfId="0" applyNumberFormat="1" applyFont="1" applyFill="1" applyBorder="1" applyAlignment="1">
      <alignment horizontal="center" vertical="center"/>
    </xf>
    <xf numFmtId="164" fontId="4" fillId="4" borderId="3" xfId="0" applyNumberFormat="1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 shrinkToFit="1"/>
    </xf>
    <xf numFmtId="0" fontId="5" fillId="7" borderId="3" xfId="0" applyFont="1" applyFill="1" applyBorder="1" applyAlignment="1">
      <alignment horizontal="center" vertical="center"/>
    </xf>
    <xf numFmtId="164" fontId="5" fillId="7" borderId="3" xfId="0" applyNumberFormat="1" applyFont="1" applyFill="1" applyBorder="1" applyAlignment="1">
      <alignment horizontal="center" vertical="center"/>
    </xf>
    <xf numFmtId="0" fontId="1" fillId="8" borderId="3" xfId="0" applyFont="1" applyFill="1" applyBorder="1" applyAlignment="1">
      <alignment horizontal="center" vertical="center" shrinkToFit="1"/>
    </xf>
    <xf numFmtId="0" fontId="1" fillId="8" borderId="3" xfId="0" applyFont="1" applyFill="1" applyBorder="1" applyAlignment="1">
      <alignment horizontal="center" vertical="center"/>
    </xf>
    <xf numFmtId="9" fontId="1" fillId="8" borderId="3" xfId="0" applyNumberFormat="1" applyFont="1" applyFill="1" applyBorder="1" applyAlignment="1">
      <alignment horizontal="center" vertical="center"/>
    </xf>
    <xf numFmtId="9" fontId="4" fillId="4" borderId="3" xfId="0" applyNumberFormat="1" applyFont="1" applyFill="1" applyBorder="1" applyAlignment="1">
      <alignment horizontal="center" vertical="center"/>
    </xf>
    <xf numFmtId="0" fontId="1" fillId="9" borderId="3" xfId="0" applyFont="1" applyFill="1" applyBorder="1" applyAlignment="1">
      <alignment horizontal="center" vertical="center" wrapText="1" shrinkToFit="1"/>
    </xf>
    <xf numFmtId="0" fontId="1" fillId="9" borderId="3" xfId="0" applyFont="1" applyFill="1" applyBorder="1" applyAlignment="1">
      <alignment horizontal="center" vertical="center"/>
    </xf>
    <xf numFmtId="0" fontId="1" fillId="10" borderId="3" xfId="0" applyFont="1" applyFill="1" applyBorder="1" applyAlignment="1">
      <alignment horizontal="center" vertical="center" shrinkToFit="1"/>
    </xf>
    <xf numFmtId="0" fontId="1" fillId="10" borderId="3" xfId="0" applyFont="1" applyFill="1" applyBorder="1" applyAlignment="1">
      <alignment horizontal="center" vertical="center"/>
    </xf>
    <xf numFmtId="164" fontId="1" fillId="10" borderId="3" xfId="0" applyNumberFormat="1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vertical="center"/>
    </xf>
    <xf numFmtId="0" fontId="6" fillId="11" borderId="16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6" fillId="12" borderId="16" xfId="0" applyFont="1" applyFill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6" borderId="16" xfId="0" applyFont="1" applyFill="1" applyBorder="1" applyAlignment="1">
      <alignment horizontal="center" vertical="center"/>
    </xf>
    <xf numFmtId="0" fontId="1" fillId="13" borderId="10" xfId="0" applyFont="1" applyFill="1" applyBorder="1" applyAlignment="1">
      <alignment horizontal="center" vertical="center"/>
    </xf>
    <xf numFmtId="0" fontId="1" fillId="0" borderId="10" xfId="0" applyFont="1" applyBorder="1" applyAlignment="1">
      <alignment vertical="center"/>
    </xf>
    <xf numFmtId="0" fontId="1" fillId="0" borderId="18" xfId="0" applyFont="1" applyBorder="1" applyAlignment="1">
      <alignment vertical="center"/>
    </xf>
    <xf numFmtId="0" fontId="1" fillId="0" borderId="19" xfId="0" applyFont="1" applyBorder="1" applyAlignment="1">
      <alignment vertical="center"/>
    </xf>
    <xf numFmtId="0" fontId="1" fillId="0" borderId="20" xfId="0" applyFont="1" applyBorder="1" applyAlignment="1">
      <alignment vertical="center"/>
    </xf>
    <xf numFmtId="0" fontId="1" fillId="14" borderId="3" xfId="0" applyFont="1" applyFill="1" applyBorder="1" applyAlignment="1">
      <alignment horizontal="center" vertical="center" wrapText="1"/>
    </xf>
    <xf numFmtId="0" fontId="1" fillId="0" borderId="21" xfId="0" applyFont="1" applyBorder="1" applyAlignment="1">
      <alignment vertical="center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1" fillId="14" borderId="10" xfId="0" applyFont="1" applyFill="1" applyBorder="1" applyAlignment="1">
      <alignment horizontal="center" vertical="center" wrapText="1"/>
    </xf>
    <xf numFmtId="0" fontId="1" fillId="0" borderId="22" xfId="0" applyFont="1" applyBorder="1" applyAlignment="1">
      <alignment vertical="center"/>
    </xf>
    <xf numFmtId="0" fontId="1" fillId="0" borderId="23" xfId="0" applyFont="1" applyBorder="1" applyAlignment="1">
      <alignment vertical="center"/>
    </xf>
    <xf numFmtId="0" fontId="1" fillId="0" borderId="24" xfId="0" applyFont="1" applyBorder="1" applyAlignment="1">
      <alignment vertical="center"/>
    </xf>
    <xf numFmtId="0" fontId="1" fillId="0" borderId="25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BE59"/>
  <sheetViews>
    <sheetView workbookViewId="0" zoomScale="60" zoomScaleNormal="100" view="pageBreakPreview">
      <selection activeCell="BY17" sqref="BY17"/>
    </sheetView>
  </sheetViews>
  <sheetFormatPr defaultRowHeight="23.1" outlineLevelRow="0" outlineLevelCol="0" x14ac:dyDescent="0" defaultColWidth="3.125" customHeight="1"/>
  <cols>
    <col min="1" max="57" width="3.125" customWidth="1"/>
  </cols>
  <sheetData>
    <row r="1" ht="21.95" customHeight="1" spans="1:57" x14ac:dyDescent="0.25">
      <c r="A1" s="1"/>
      <c r="B1" s="1"/>
      <c r="C1" s="1"/>
      <c r="D1" s="1"/>
      <c r="E1" s="1"/>
      <c r="F1" s="2" t="s">
        <v>0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3" t="s">
        <v>1</v>
      </c>
      <c r="AZ1" s="4" t="s">
        <v>2</v>
      </c>
      <c r="BA1" s="4"/>
      <c r="BB1" s="4"/>
      <c r="BC1" s="4" t="s">
        <v>3</v>
      </c>
      <c r="BD1" s="4"/>
      <c r="BE1" s="4"/>
    </row>
    <row r="2" ht="21.95" customHeight="1" spans="1:57" x14ac:dyDescent="0.25">
      <c r="A2" s="1"/>
      <c r="B2" s="1"/>
      <c r="C2" s="1"/>
      <c r="D2" s="1"/>
      <c r="E2" s="1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3"/>
      <c r="AZ2" s="5"/>
      <c r="BA2" s="5"/>
      <c r="BB2" s="5"/>
      <c r="BC2" s="5"/>
      <c r="BD2" s="5"/>
      <c r="BE2" s="5"/>
    </row>
    <row r="3" ht="21.95" customHeight="1" spans="1:57" x14ac:dyDescent="0.25">
      <c r="A3" s="1"/>
      <c r="B3" s="1"/>
      <c r="C3" s="1"/>
      <c r="D3" s="1"/>
      <c r="E3" s="1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3"/>
      <c r="AZ3" s="5"/>
      <c r="BA3" s="5"/>
      <c r="BB3" s="5"/>
      <c r="BC3" s="5"/>
      <c r="BD3" s="5"/>
      <c r="BE3" s="5"/>
    </row>
    <row r="4" ht="21.95" customHeight="1" spans="1:57" x14ac:dyDescent="0.25">
      <c r="A4" s="6" t="s">
        <v>4</v>
      </c>
      <c r="B4" s="6"/>
      <c r="C4" s="6"/>
      <c r="D4" s="6"/>
      <c r="E4" s="6"/>
      <c r="F4" s="7" t="s">
        <v>5</v>
      </c>
      <c r="G4" s="7"/>
      <c r="H4" s="7"/>
      <c r="I4" s="7"/>
      <c r="J4" s="7"/>
      <c r="K4" s="7"/>
      <c r="L4" s="8" t="s">
        <v>6</v>
      </c>
      <c r="M4" s="8"/>
      <c r="N4" s="8"/>
      <c r="O4" s="8"/>
      <c r="P4" s="9" t="s">
        <v>7</v>
      </c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8" t="s">
        <v>8</v>
      </c>
      <c r="AJ4" s="8"/>
      <c r="AK4" s="8"/>
      <c r="AL4" s="8"/>
      <c r="AM4" s="9" t="s">
        <v>9</v>
      </c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</row>
    <row r="5" ht="21.95" customHeight="1" spans="1:57" x14ac:dyDescent="0.25">
      <c r="A5" s="10" t="s">
        <v>10</v>
      </c>
      <c r="B5" s="10"/>
      <c r="C5" s="10"/>
      <c r="D5" s="10"/>
      <c r="E5" s="4" t="s">
        <v>11</v>
      </c>
      <c r="F5" s="4"/>
      <c r="G5" s="4"/>
      <c r="H5" s="4"/>
      <c r="I5" s="4"/>
      <c r="J5" s="4"/>
      <c r="K5" s="4" t="s">
        <v>12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 t="s">
        <v>13</v>
      </c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</row>
    <row r="6" ht="24.95" customHeight="1" spans="1:57" x14ac:dyDescent="0.25">
      <c r="A6" s="10"/>
      <c r="B6" s="10"/>
      <c r="C6" s="10"/>
      <c r="D6" s="10"/>
      <c r="E6" s="4"/>
      <c r="F6" s="4"/>
      <c r="G6" s="4"/>
      <c r="H6" s="4"/>
      <c r="I6" s="4"/>
      <c r="J6" s="4"/>
      <c r="K6" s="11" t="s">
        <v>14</v>
      </c>
      <c r="L6" s="11"/>
      <c r="M6" s="11"/>
      <c r="N6" s="11"/>
      <c r="O6" s="11"/>
      <c r="P6" s="11" t="s">
        <v>15</v>
      </c>
      <c r="Q6" s="11"/>
      <c r="R6" s="11"/>
      <c r="S6" s="11"/>
      <c r="T6" s="11"/>
      <c r="U6" s="11" t="s">
        <v>16</v>
      </c>
      <c r="V6" s="11"/>
      <c r="W6" s="11"/>
      <c r="X6" s="11"/>
      <c r="Y6" s="11"/>
      <c r="Z6" s="11" t="s">
        <v>17</v>
      </c>
      <c r="AA6" s="11"/>
      <c r="AB6" s="11"/>
      <c r="AC6" s="11"/>
      <c r="AD6" s="11"/>
      <c r="AE6" s="12" t="s">
        <v>18</v>
      </c>
      <c r="AF6" s="12"/>
      <c r="AG6" s="12"/>
      <c r="AH6" s="12"/>
      <c r="AI6" s="12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</row>
    <row r="7" ht="21.95" customHeight="1" spans="1:57" x14ac:dyDescent="0.25">
      <c r="A7" s="13" t="s">
        <v>19</v>
      </c>
      <c r="B7" s="13"/>
      <c r="C7" s="13"/>
      <c r="D7" s="13"/>
      <c r="E7" s="14" t="s">
        <v>20</v>
      </c>
      <c r="F7" s="14"/>
      <c r="G7" s="14"/>
      <c r="H7" s="14"/>
      <c r="I7" s="14"/>
      <c r="J7" s="14"/>
      <c r="K7" s="15" t="s">
        <v>21</v>
      </c>
      <c r="L7" s="15"/>
      <c r="M7" s="15"/>
      <c r="N7" s="15"/>
      <c r="O7" s="15"/>
      <c r="P7" s="15" t="s">
        <v>22</v>
      </c>
      <c r="Q7" s="15"/>
      <c r="R7" s="15"/>
      <c r="S7" s="15"/>
      <c r="T7" s="15"/>
      <c r="U7" s="15" t="s">
        <v>23</v>
      </c>
      <c r="V7" s="15"/>
      <c r="W7" s="15"/>
      <c r="X7" s="15"/>
      <c r="Y7" s="15"/>
      <c r="Z7" s="15" t="s">
        <v>24</v>
      </c>
      <c r="AA7" s="15"/>
      <c r="AB7" s="15"/>
      <c r="AC7" s="15"/>
      <c r="AD7" s="15"/>
      <c r="AE7" s="16" t="s">
        <v>25</v>
      </c>
      <c r="AF7" s="16"/>
      <c r="AG7" s="16"/>
      <c r="AH7" s="16"/>
      <c r="AI7" s="16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ht="21.95" customHeight="1" spans="1:57" x14ac:dyDescent="0.25">
      <c r="A8" s="13"/>
      <c r="B8" s="13"/>
      <c r="C8" s="13"/>
      <c r="D8" s="13"/>
      <c r="E8" s="17" t="s">
        <v>26</v>
      </c>
      <c r="F8" s="17"/>
      <c r="G8" s="17"/>
      <c r="H8" s="17"/>
      <c r="I8" s="17"/>
      <c r="J8" s="17"/>
      <c r="K8" s="18" t="s">
        <v>27</v>
      </c>
      <c r="L8" s="18"/>
      <c r="M8" s="18"/>
      <c r="N8" s="18"/>
      <c r="O8" s="18"/>
      <c r="P8" s="19">
        <f>330*190</f>
        <v>62700</v>
      </c>
      <c r="Q8" s="19"/>
      <c r="R8" s="19"/>
      <c r="S8" s="19"/>
      <c r="T8" s="19"/>
      <c r="U8" s="19">
        <f>578*190</f>
        <v>109820</v>
      </c>
      <c r="V8" s="19"/>
      <c r="W8" s="19"/>
      <c r="X8" s="19"/>
      <c r="Y8" s="19"/>
      <c r="Z8" s="19">
        <f>958*190</f>
        <v>182020</v>
      </c>
      <c r="AA8" s="19"/>
      <c r="AB8" s="19"/>
      <c r="AC8" s="19"/>
      <c r="AD8" s="19"/>
      <c r="AE8" s="20">
        <f>1103*190</f>
        <v>209570</v>
      </c>
      <c r="AF8" s="20"/>
      <c r="AG8" s="20"/>
      <c r="AH8" s="20"/>
      <c r="AI8" s="20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ht="21.95" customHeight="1" spans="1:57" x14ac:dyDescent="0.25">
      <c r="A9" s="13"/>
      <c r="B9" s="13"/>
      <c r="C9" s="13"/>
      <c r="D9" s="13"/>
      <c r="E9" s="17" t="s">
        <v>26</v>
      </c>
      <c r="F9" s="17"/>
      <c r="G9" s="17"/>
      <c r="H9" s="17"/>
      <c r="I9" s="17"/>
      <c r="J9" s="17"/>
      <c r="K9" s="18" t="s">
        <v>28</v>
      </c>
      <c r="L9" s="18"/>
      <c r="M9" s="18"/>
      <c r="N9" s="18"/>
      <c r="O9" s="18"/>
      <c r="P9" s="19">
        <f>330*195</f>
        <v>64350</v>
      </c>
      <c r="Q9" s="19"/>
      <c r="R9" s="19"/>
      <c r="S9" s="19"/>
      <c r="T9" s="19"/>
      <c r="U9" s="19">
        <f>578*195</f>
        <v>112710</v>
      </c>
      <c r="V9" s="19"/>
      <c r="W9" s="19"/>
      <c r="X9" s="19"/>
      <c r="Y9" s="19"/>
      <c r="Z9" s="19">
        <f>958*195</f>
        <v>186810</v>
      </c>
      <c r="AA9" s="19"/>
      <c r="AB9" s="19"/>
      <c r="AC9" s="19"/>
      <c r="AD9" s="19"/>
      <c r="AE9" s="20">
        <f>1103*195</f>
        <v>215085</v>
      </c>
      <c r="AF9" s="20"/>
      <c r="AG9" s="20"/>
      <c r="AH9" s="20"/>
      <c r="AI9" s="20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ht="21.95" customHeight="1" spans="1:57" x14ac:dyDescent="0.25">
      <c r="A10" s="13"/>
      <c r="B10" s="13"/>
      <c r="C10" s="13"/>
      <c r="D10" s="13"/>
      <c r="E10" s="21" t="s">
        <v>29</v>
      </c>
      <c r="F10" s="21"/>
      <c r="G10" s="21"/>
      <c r="H10" s="21"/>
      <c r="I10" s="21"/>
      <c r="J10" s="21"/>
      <c r="K10" s="22" t="s">
        <v>30</v>
      </c>
      <c r="L10" s="22"/>
      <c r="M10" s="22"/>
      <c r="N10" s="22"/>
      <c r="O10" s="22"/>
      <c r="P10" s="23">
        <f>330*385</f>
        <v>127050</v>
      </c>
      <c r="Q10" s="23"/>
      <c r="R10" s="23"/>
      <c r="S10" s="23"/>
      <c r="T10" s="23"/>
      <c r="U10" s="23">
        <f>578*385</f>
        <v>222530</v>
      </c>
      <c r="V10" s="23"/>
      <c r="W10" s="23"/>
      <c r="X10" s="23"/>
      <c r="Y10" s="23"/>
      <c r="Z10" s="23">
        <f>958*385</f>
        <v>368830</v>
      </c>
      <c r="AA10" s="23"/>
      <c r="AB10" s="23"/>
      <c r="AC10" s="23"/>
      <c r="AD10" s="23"/>
      <c r="AE10" s="20">
        <f>1103*385</f>
        <v>424655</v>
      </c>
      <c r="AF10" s="20"/>
      <c r="AG10" s="20"/>
      <c r="AH10" s="20"/>
      <c r="AI10" s="20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ht="21.95" customHeight="1" spans="1:57" x14ac:dyDescent="0.25">
      <c r="A11" s="13"/>
      <c r="B11" s="13"/>
      <c r="C11" s="13"/>
      <c r="D11" s="13"/>
      <c r="E11" s="24" t="s">
        <v>31</v>
      </c>
      <c r="F11" s="24"/>
      <c r="G11" s="24"/>
      <c r="H11" s="24"/>
      <c r="I11" s="24"/>
      <c r="J11" s="24"/>
      <c r="K11" s="25" t="s">
        <v>32</v>
      </c>
      <c r="L11" s="25"/>
      <c r="M11" s="25"/>
      <c r="N11" s="25"/>
      <c r="O11" s="25"/>
      <c r="P11" s="26">
        <f>1.35/1.2</f>
        <v>1.1250000000000002</v>
      </c>
      <c r="Q11" s="26"/>
      <c r="R11" s="26"/>
      <c r="S11" s="26"/>
      <c r="T11" s="26"/>
      <c r="U11" s="26">
        <f>1.37/1.2</f>
        <v>1.1416666666666668</v>
      </c>
      <c r="V11" s="26"/>
      <c r="W11" s="26"/>
      <c r="X11" s="26"/>
      <c r="Y11" s="26"/>
      <c r="Z11" s="26">
        <f>1.4/1.2</f>
        <v>1.1666666666666667</v>
      </c>
      <c r="AA11" s="26"/>
      <c r="AB11" s="26"/>
      <c r="AC11" s="26"/>
      <c r="AD11" s="26"/>
      <c r="AE11" s="27">
        <f>1.45/1.2</f>
        <v>1.2083333333333333</v>
      </c>
      <c r="AF11" s="27"/>
      <c r="AG11" s="27"/>
      <c r="AH11" s="27"/>
      <c r="AI11" s="27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ht="21.95" customHeight="1" spans="1:57" x14ac:dyDescent="0.25">
      <c r="A12" s="13"/>
      <c r="B12" s="13"/>
      <c r="C12" s="13"/>
      <c r="D12" s="13"/>
      <c r="E12" s="28" t="s">
        <v>33</v>
      </c>
      <c r="F12" s="28"/>
      <c r="G12" s="28"/>
      <c r="H12" s="28"/>
      <c r="I12" s="28"/>
      <c r="J12" s="28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16"/>
      <c r="AF12" s="16"/>
      <c r="AG12" s="16"/>
      <c r="AH12" s="16"/>
      <c r="AI12" s="16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ht="21.95" customHeight="1" spans="1:57" x14ac:dyDescent="0.25">
      <c r="A13" s="13"/>
      <c r="B13" s="13"/>
      <c r="C13" s="13"/>
      <c r="D13" s="13"/>
      <c r="E13" s="28"/>
      <c r="F13" s="28"/>
      <c r="G13" s="28"/>
      <c r="H13" s="28"/>
      <c r="I13" s="28"/>
      <c r="J13" s="28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16"/>
      <c r="AF13" s="16"/>
      <c r="AG13" s="16"/>
      <c r="AH13" s="16"/>
      <c r="AI13" s="16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ht="21.95" customHeight="1" spans="1:57" x14ac:dyDescent="0.25">
      <c r="A14" s="13"/>
      <c r="B14" s="13"/>
      <c r="C14" s="13"/>
      <c r="D14" s="13"/>
      <c r="E14" s="28"/>
      <c r="F14" s="28"/>
      <c r="G14" s="28"/>
      <c r="H14" s="28"/>
      <c r="I14" s="28"/>
      <c r="J14" s="28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16"/>
      <c r="AF14" s="16"/>
      <c r="AG14" s="16"/>
      <c r="AH14" s="16"/>
      <c r="AI14" s="16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ht="21.95" customHeight="1" spans="1:57" x14ac:dyDescent="0.25">
      <c r="A15" s="10" t="s">
        <v>10</v>
      </c>
      <c r="B15" s="10"/>
      <c r="C15" s="10"/>
      <c r="D15" s="10"/>
      <c r="E15" s="4" t="s">
        <v>11</v>
      </c>
      <c r="F15" s="4"/>
      <c r="G15" s="4"/>
      <c r="H15" s="4"/>
      <c r="I15" s="4"/>
      <c r="J15" s="4"/>
      <c r="K15" s="4" t="s">
        <v>12</v>
      </c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 t="s">
        <v>13</v>
      </c>
      <c r="AZ15" s="4"/>
      <c r="BA15" s="4"/>
      <c r="BB15" s="4"/>
      <c r="BC15" s="4"/>
      <c r="BD15" s="4"/>
      <c r="BE15" s="4"/>
    </row>
    <row r="16" ht="24.95" customHeight="1" spans="1:57" x14ac:dyDescent="0.25">
      <c r="A16" s="10"/>
      <c r="B16" s="10"/>
      <c r="C16" s="10"/>
      <c r="D16" s="10"/>
      <c r="E16" s="4"/>
      <c r="F16" s="4"/>
      <c r="G16" s="4"/>
      <c r="H16" s="4"/>
      <c r="I16" s="4"/>
      <c r="J16" s="4"/>
      <c r="K16" s="11" t="s">
        <v>14</v>
      </c>
      <c r="L16" s="11"/>
      <c r="M16" s="11"/>
      <c r="N16" s="11"/>
      <c r="O16" s="11"/>
      <c r="P16" s="11" t="s">
        <v>34</v>
      </c>
      <c r="Q16" s="11"/>
      <c r="R16" s="11"/>
      <c r="S16" s="11"/>
      <c r="T16" s="11"/>
      <c r="U16" s="11" t="s">
        <v>35</v>
      </c>
      <c r="V16" s="11"/>
      <c r="W16" s="11"/>
      <c r="X16" s="11"/>
      <c r="Y16" s="11"/>
      <c r="Z16" s="11" t="s">
        <v>36</v>
      </c>
      <c r="AA16" s="11"/>
      <c r="AB16" s="11"/>
      <c r="AC16" s="11"/>
      <c r="AD16" s="11"/>
      <c r="AE16" s="11" t="s">
        <v>37</v>
      </c>
      <c r="AF16" s="11"/>
      <c r="AG16" s="11"/>
      <c r="AH16" s="11"/>
      <c r="AI16" s="11"/>
      <c r="AJ16" s="11" t="s">
        <v>38</v>
      </c>
      <c r="AK16" s="11"/>
      <c r="AL16" s="11"/>
      <c r="AM16" s="11"/>
      <c r="AN16" s="11"/>
      <c r="AO16" s="11" t="s">
        <v>39</v>
      </c>
      <c r="AP16" s="11"/>
      <c r="AQ16" s="11"/>
      <c r="AR16" s="11"/>
      <c r="AS16" s="11"/>
      <c r="AT16" s="12" t="s">
        <v>40</v>
      </c>
      <c r="AU16" s="12"/>
      <c r="AV16" s="12"/>
      <c r="AW16" s="12"/>
      <c r="AX16" s="12"/>
      <c r="AY16" s="4"/>
      <c r="AZ16" s="4"/>
      <c r="BA16" s="4"/>
      <c r="BB16" s="4"/>
      <c r="BC16" s="4"/>
      <c r="BD16" s="4"/>
      <c r="BE16" s="4"/>
    </row>
    <row r="17" ht="21.95" customHeight="1" spans="1:57" x14ac:dyDescent="0.25">
      <c r="A17" s="13" t="s">
        <v>41</v>
      </c>
      <c r="B17" s="13"/>
      <c r="C17" s="13"/>
      <c r="D17" s="13"/>
      <c r="E17" s="14" t="s">
        <v>20</v>
      </c>
      <c r="F17" s="14"/>
      <c r="G17" s="14"/>
      <c r="H17" s="14"/>
      <c r="I17" s="14"/>
      <c r="J17" s="14"/>
      <c r="K17" s="15" t="s">
        <v>21</v>
      </c>
      <c r="L17" s="15"/>
      <c r="M17" s="15"/>
      <c r="N17" s="15"/>
      <c r="O17" s="15"/>
      <c r="P17" s="15" t="s">
        <v>42</v>
      </c>
      <c r="Q17" s="15"/>
      <c r="R17" s="15"/>
      <c r="S17" s="15"/>
      <c r="T17" s="15"/>
      <c r="U17" s="15" t="s">
        <v>43</v>
      </c>
      <c r="V17" s="15"/>
      <c r="W17" s="15"/>
      <c r="X17" s="15"/>
      <c r="Y17" s="15"/>
      <c r="Z17" s="15" t="s">
        <v>23</v>
      </c>
      <c r="AA17" s="15"/>
      <c r="AB17" s="15"/>
      <c r="AC17" s="15"/>
      <c r="AD17" s="15"/>
      <c r="AE17" s="15" t="s">
        <v>44</v>
      </c>
      <c r="AF17" s="15"/>
      <c r="AG17" s="15"/>
      <c r="AH17" s="15"/>
      <c r="AI17" s="15"/>
      <c r="AJ17" s="15" t="s">
        <v>45</v>
      </c>
      <c r="AK17" s="15"/>
      <c r="AL17" s="15"/>
      <c r="AM17" s="15"/>
      <c r="AN17" s="15"/>
      <c r="AO17" s="15" t="s">
        <v>46</v>
      </c>
      <c r="AP17" s="15"/>
      <c r="AQ17" s="15"/>
      <c r="AR17" s="15"/>
      <c r="AS17" s="15"/>
      <c r="AT17" s="16" t="s">
        <v>47</v>
      </c>
      <c r="AU17" s="16"/>
      <c r="AV17" s="16"/>
      <c r="AW17" s="16"/>
      <c r="AX17" s="16"/>
      <c r="AY17" s="5"/>
      <c r="AZ17" s="5"/>
      <c r="BA17" s="5"/>
      <c r="BB17" s="5"/>
      <c r="BC17" s="5"/>
      <c r="BD17" s="5"/>
      <c r="BE17" s="5"/>
    </row>
    <row r="18" ht="21.95" customHeight="1" spans="1:57" x14ac:dyDescent="0.25">
      <c r="A18" s="13"/>
      <c r="B18" s="13"/>
      <c r="C18" s="13"/>
      <c r="D18" s="13"/>
      <c r="E18" s="30" t="s">
        <v>26</v>
      </c>
      <c r="F18" s="30"/>
      <c r="G18" s="30"/>
      <c r="H18" s="30"/>
      <c r="I18" s="30"/>
      <c r="J18" s="30"/>
      <c r="K18" s="31" t="s">
        <v>48</v>
      </c>
      <c r="L18" s="31"/>
      <c r="M18" s="31"/>
      <c r="N18" s="31"/>
      <c r="O18" s="31"/>
      <c r="P18" s="32">
        <f>1103*80</f>
        <v>88240</v>
      </c>
      <c r="Q18" s="32"/>
      <c r="R18" s="32"/>
      <c r="S18" s="32"/>
      <c r="T18" s="32"/>
      <c r="U18" s="32">
        <f>2050*80</f>
        <v>164000</v>
      </c>
      <c r="V18" s="32"/>
      <c r="W18" s="32"/>
      <c r="X18" s="32"/>
      <c r="Y18" s="32"/>
      <c r="Z18" s="32">
        <f>3115*80</f>
        <v>249200</v>
      </c>
      <c r="AA18" s="32"/>
      <c r="AB18" s="32"/>
      <c r="AC18" s="32"/>
      <c r="AD18" s="32"/>
      <c r="AE18" s="32">
        <f>4010*80</f>
        <v>320800</v>
      </c>
      <c r="AF18" s="32"/>
      <c r="AG18" s="32"/>
      <c r="AH18" s="32"/>
      <c r="AI18" s="32"/>
      <c r="AJ18" s="32">
        <f>4382*80</f>
        <v>350560</v>
      </c>
      <c r="AK18" s="32"/>
      <c r="AL18" s="32"/>
      <c r="AM18" s="32"/>
      <c r="AN18" s="32"/>
      <c r="AO18" s="32">
        <f>4609*80</f>
        <v>368720</v>
      </c>
      <c r="AP18" s="32"/>
      <c r="AQ18" s="32"/>
      <c r="AR18" s="32"/>
      <c r="AS18" s="32"/>
      <c r="AT18" s="20">
        <f>4955*80</f>
        <v>396400</v>
      </c>
      <c r="AU18" s="20"/>
      <c r="AV18" s="20"/>
      <c r="AW18" s="20"/>
      <c r="AX18" s="20"/>
      <c r="AY18" s="5"/>
      <c r="AZ18" s="5"/>
      <c r="BA18" s="5"/>
      <c r="BB18" s="5"/>
      <c r="BC18" s="5"/>
      <c r="BD18" s="5"/>
      <c r="BE18" s="5"/>
    </row>
    <row r="19" ht="21.95" customHeight="1" spans="1:57" x14ac:dyDescent="0.25">
      <c r="A19" s="13"/>
      <c r="B19" s="13"/>
      <c r="C19" s="13"/>
      <c r="D19" s="13"/>
      <c r="E19" s="24" t="s">
        <v>31</v>
      </c>
      <c r="F19" s="24"/>
      <c r="G19" s="24"/>
      <c r="H19" s="24"/>
      <c r="I19" s="24"/>
      <c r="J19" s="24"/>
      <c r="K19" s="25" t="s">
        <v>32</v>
      </c>
      <c r="L19" s="25"/>
      <c r="M19" s="25"/>
      <c r="N19" s="25"/>
      <c r="O19" s="25"/>
      <c r="P19" s="26">
        <f>1.33/1.2</f>
        <v>1.1083333333333334</v>
      </c>
      <c r="Q19" s="26"/>
      <c r="R19" s="26"/>
      <c r="S19" s="26"/>
      <c r="T19" s="26"/>
      <c r="U19" s="26">
        <f>1.36/1.2</f>
        <v>1.1333333333333335</v>
      </c>
      <c r="V19" s="26"/>
      <c r="W19" s="26"/>
      <c r="X19" s="26"/>
      <c r="Y19" s="26"/>
      <c r="Z19" s="26">
        <f>1.37/1.2</f>
        <v>1.1416666666666668</v>
      </c>
      <c r="AA19" s="26"/>
      <c r="AB19" s="26"/>
      <c r="AC19" s="26"/>
      <c r="AD19" s="26"/>
      <c r="AE19" s="26">
        <f>1.39/1.2</f>
        <v>1.1583333333333332</v>
      </c>
      <c r="AF19" s="26"/>
      <c r="AG19" s="26"/>
      <c r="AH19" s="26"/>
      <c r="AI19" s="26"/>
      <c r="AJ19" s="26">
        <f>1.41/1.2</f>
        <v>1.175</v>
      </c>
      <c r="AK19" s="26"/>
      <c r="AL19" s="26"/>
      <c r="AM19" s="26"/>
      <c r="AN19" s="26"/>
      <c r="AO19" s="26">
        <f>1.42/1.2</f>
        <v>1.1833333333333333</v>
      </c>
      <c r="AP19" s="26"/>
      <c r="AQ19" s="26"/>
      <c r="AR19" s="26"/>
      <c r="AS19" s="26"/>
      <c r="AT19" s="27">
        <f>1.44/1.2</f>
        <v>1.2</v>
      </c>
      <c r="AU19" s="27"/>
      <c r="AV19" s="27"/>
      <c r="AW19" s="27"/>
      <c r="AX19" s="27"/>
      <c r="AY19" s="5"/>
      <c r="AZ19" s="5"/>
      <c r="BA19" s="5"/>
      <c r="BB19" s="5"/>
      <c r="BC19" s="5"/>
      <c r="BD19" s="5"/>
      <c r="BE19" s="5"/>
    </row>
    <row r="20" ht="21.95" customHeight="1" spans="1:57" x14ac:dyDescent="0.25">
      <c r="A20" s="13"/>
      <c r="B20" s="13"/>
      <c r="C20" s="13"/>
      <c r="D20" s="13"/>
      <c r="E20" s="28" t="s">
        <v>33</v>
      </c>
      <c r="F20" s="28"/>
      <c r="G20" s="28"/>
      <c r="H20" s="28"/>
      <c r="I20" s="28"/>
      <c r="J20" s="28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16"/>
      <c r="AU20" s="16"/>
      <c r="AV20" s="16"/>
      <c r="AW20" s="16"/>
      <c r="AX20" s="16"/>
      <c r="AY20" s="5"/>
      <c r="AZ20" s="5"/>
      <c r="BA20" s="5"/>
      <c r="BB20" s="5"/>
      <c r="BC20" s="5"/>
      <c r="BD20" s="5"/>
      <c r="BE20" s="5"/>
    </row>
    <row r="21" ht="21.95" customHeight="1" spans="1:57" x14ac:dyDescent="0.25">
      <c r="A21" s="13"/>
      <c r="B21" s="13"/>
      <c r="C21" s="13"/>
      <c r="D21" s="13"/>
      <c r="E21" s="28"/>
      <c r="F21" s="28"/>
      <c r="G21" s="28"/>
      <c r="H21" s="28"/>
      <c r="I21" s="28"/>
      <c r="J21" s="28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16"/>
      <c r="AU21" s="16"/>
      <c r="AV21" s="16"/>
      <c r="AW21" s="16"/>
      <c r="AX21" s="16"/>
      <c r="AY21" s="5"/>
      <c r="AZ21" s="5"/>
      <c r="BA21" s="5"/>
      <c r="BB21" s="5"/>
      <c r="BC21" s="5"/>
      <c r="BD21" s="5"/>
      <c r="BE21" s="5"/>
    </row>
    <row r="22" ht="22.5" customHeight="1" spans="1:57" x14ac:dyDescent="0.25">
      <c r="A22" s="13"/>
      <c r="B22" s="13"/>
      <c r="C22" s="13"/>
      <c r="D22" s="13"/>
      <c r="E22" s="28"/>
      <c r="F22" s="28"/>
      <c r="G22" s="28"/>
      <c r="H22" s="28"/>
      <c r="I22" s="28"/>
      <c r="J22" s="28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16"/>
      <c r="AU22" s="16"/>
      <c r="AV22" s="16"/>
      <c r="AW22" s="16"/>
      <c r="AX22" s="16"/>
      <c r="AY22" s="5"/>
      <c r="AZ22" s="5"/>
      <c r="BA22" s="5"/>
      <c r="BB22" s="5"/>
      <c r="BC22" s="5"/>
      <c r="BD22" s="5"/>
      <c r="BE22" s="5"/>
    </row>
    <row r="23" ht="21.95" customHeight="1" spans="1:57" x14ac:dyDescent="0.25">
      <c r="A23" s="10" t="s">
        <v>10</v>
      </c>
      <c r="B23" s="10"/>
      <c r="C23" s="10"/>
      <c r="D23" s="10"/>
      <c r="E23" s="4" t="s">
        <v>11</v>
      </c>
      <c r="F23" s="4"/>
      <c r="G23" s="4"/>
      <c r="H23" s="4"/>
      <c r="I23" s="4"/>
      <c r="J23" s="4"/>
      <c r="K23" s="33" t="s">
        <v>12</v>
      </c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33"/>
      <c r="AH23" s="33"/>
      <c r="AI23" s="33"/>
      <c r="AJ23" s="33"/>
      <c r="AK23" s="33"/>
      <c r="AL23" s="33"/>
      <c r="AM23" s="33"/>
      <c r="AN23" s="33"/>
      <c r="AO23" s="34" t="s">
        <v>13</v>
      </c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/>
      <c r="BB23" s="34"/>
      <c r="BC23" s="34"/>
      <c r="BD23" s="34"/>
      <c r="BE23" s="34"/>
    </row>
    <row r="24" ht="24.95" customHeight="1" spans="1:57" x14ac:dyDescent="0.25">
      <c r="A24" s="10"/>
      <c r="B24" s="10"/>
      <c r="C24" s="10"/>
      <c r="D24" s="10"/>
      <c r="E24" s="4"/>
      <c r="F24" s="4"/>
      <c r="G24" s="4"/>
      <c r="H24" s="4"/>
      <c r="I24" s="4"/>
      <c r="J24" s="4"/>
      <c r="K24" s="11" t="s">
        <v>14</v>
      </c>
      <c r="L24" s="11"/>
      <c r="M24" s="11"/>
      <c r="N24" s="11"/>
      <c r="O24" s="11"/>
      <c r="P24" s="11" t="s">
        <v>34</v>
      </c>
      <c r="Q24" s="11"/>
      <c r="R24" s="11"/>
      <c r="S24" s="11"/>
      <c r="T24" s="11"/>
      <c r="U24" s="11" t="s">
        <v>35</v>
      </c>
      <c r="V24" s="11"/>
      <c r="W24" s="11"/>
      <c r="X24" s="11"/>
      <c r="Y24" s="11"/>
      <c r="Z24" s="11" t="s">
        <v>36</v>
      </c>
      <c r="AA24" s="11"/>
      <c r="AB24" s="11"/>
      <c r="AC24" s="11"/>
      <c r="AD24" s="11"/>
      <c r="AE24" s="11" t="s">
        <v>37</v>
      </c>
      <c r="AF24" s="11"/>
      <c r="AG24" s="11"/>
      <c r="AH24" s="11"/>
      <c r="AI24" s="11"/>
      <c r="AJ24" s="12" t="s">
        <v>49</v>
      </c>
      <c r="AK24" s="12"/>
      <c r="AL24" s="12"/>
      <c r="AM24" s="12"/>
      <c r="AN24" s="12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  <c r="BA24" s="34"/>
      <c r="BB24" s="34"/>
      <c r="BC24" s="34"/>
      <c r="BD24" s="34"/>
      <c r="BE24" s="34"/>
    </row>
    <row r="25" ht="21.95" customHeight="1" spans="1:57" x14ac:dyDescent="0.25">
      <c r="A25" s="13" t="s">
        <v>50</v>
      </c>
      <c r="B25" s="13"/>
      <c r="C25" s="13"/>
      <c r="D25" s="13"/>
      <c r="E25" s="14" t="s">
        <v>20</v>
      </c>
      <c r="F25" s="14"/>
      <c r="G25" s="14"/>
      <c r="H25" s="14"/>
      <c r="I25" s="14"/>
      <c r="J25" s="14"/>
      <c r="K25" s="15" t="s">
        <v>21</v>
      </c>
      <c r="L25" s="15"/>
      <c r="M25" s="15"/>
      <c r="N25" s="15"/>
      <c r="O25" s="15"/>
      <c r="P25" s="15" t="s">
        <v>42</v>
      </c>
      <c r="Q25" s="15"/>
      <c r="R25" s="15"/>
      <c r="S25" s="15"/>
      <c r="T25" s="15"/>
      <c r="U25" s="15" t="s">
        <v>22</v>
      </c>
      <c r="V25" s="15"/>
      <c r="W25" s="15"/>
      <c r="X25" s="15"/>
      <c r="Y25" s="15"/>
      <c r="Z25" s="15" t="s">
        <v>51</v>
      </c>
      <c r="AA25" s="15"/>
      <c r="AB25" s="15"/>
      <c r="AC25" s="15"/>
      <c r="AD25" s="15"/>
      <c r="AE25" s="15" t="s">
        <v>24</v>
      </c>
      <c r="AF25" s="15"/>
      <c r="AG25" s="15"/>
      <c r="AH25" s="15"/>
      <c r="AI25" s="15"/>
      <c r="AJ25" s="16" t="s">
        <v>47</v>
      </c>
      <c r="AK25" s="16"/>
      <c r="AL25" s="16"/>
      <c r="AM25" s="16"/>
      <c r="AN25" s="16"/>
      <c r="AO25" s="35"/>
      <c r="AP25" s="35"/>
      <c r="AQ25" s="35"/>
      <c r="AR25" s="35"/>
      <c r="AS25" s="35"/>
      <c r="AT25" s="35"/>
      <c r="AU25" s="35"/>
      <c r="AV25" s="35"/>
      <c r="AW25" s="35"/>
      <c r="AX25" s="35"/>
      <c r="AY25" s="35"/>
      <c r="AZ25" s="35"/>
      <c r="BA25" s="35"/>
      <c r="BB25" s="35"/>
      <c r="BC25" s="35"/>
      <c r="BD25" s="35"/>
      <c r="BE25" s="35"/>
    </row>
    <row r="26" ht="21.95" customHeight="1" spans="1:57" x14ac:dyDescent="0.25">
      <c r="A26" s="13"/>
      <c r="B26" s="13"/>
      <c r="C26" s="13"/>
      <c r="D26" s="13"/>
      <c r="E26" s="30" t="s">
        <v>26</v>
      </c>
      <c r="F26" s="30"/>
      <c r="G26" s="30"/>
      <c r="H26" s="30"/>
      <c r="I26" s="30"/>
      <c r="J26" s="30"/>
      <c r="K26" s="31" t="s">
        <v>52</v>
      </c>
      <c r="L26" s="31"/>
      <c r="M26" s="31"/>
      <c r="N26" s="31"/>
      <c r="O26" s="31"/>
      <c r="P26" s="32">
        <f>1103*90</f>
        <v>99270</v>
      </c>
      <c r="Q26" s="32"/>
      <c r="R26" s="32"/>
      <c r="S26" s="32"/>
      <c r="T26" s="32"/>
      <c r="U26" s="32">
        <f>2050*90</f>
        <v>184500</v>
      </c>
      <c r="V26" s="32"/>
      <c r="W26" s="32"/>
      <c r="X26" s="32"/>
      <c r="Y26" s="32"/>
      <c r="Z26" s="32">
        <f>3115*90</f>
        <v>280350</v>
      </c>
      <c r="AA26" s="32"/>
      <c r="AB26" s="32"/>
      <c r="AC26" s="32"/>
      <c r="AD26" s="32"/>
      <c r="AE26" s="32">
        <f>4010*90</f>
        <v>360900</v>
      </c>
      <c r="AF26" s="32"/>
      <c r="AG26" s="32"/>
      <c r="AH26" s="32"/>
      <c r="AI26" s="32"/>
      <c r="AJ26" s="20">
        <f>4382*90</f>
        <v>394380</v>
      </c>
      <c r="AK26" s="20"/>
      <c r="AL26" s="20"/>
      <c r="AM26" s="20"/>
      <c r="AN26" s="20"/>
      <c r="AO26" s="35"/>
      <c r="AP26" s="35"/>
      <c r="AQ26" s="35"/>
      <c r="AR26" s="35"/>
      <c r="AS26" s="35"/>
      <c r="AT26" s="35"/>
      <c r="AU26" s="35"/>
      <c r="AV26" s="35"/>
      <c r="AW26" s="35"/>
      <c r="AX26" s="35"/>
      <c r="AY26" s="35"/>
      <c r="AZ26" s="35"/>
      <c r="BA26" s="35"/>
      <c r="BB26" s="35"/>
      <c r="BC26" s="35"/>
      <c r="BD26" s="35"/>
      <c r="BE26" s="35"/>
    </row>
    <row r="27" ht="21.95" customHeight="1" spans="1:57" x14ac:dyDescent="0.25">
      <c r="A27" s="13"/>
      <c r="B27" s="13"/>
      <c r="C27" s="13"/>
      <c r="D27" s="13"/>
      <c r="E27" s="24" t="s">
        <v>31</v>
      </c>
      <c r="F27" s="24"/>
      <c r="G27" s="24"/>
      <c r="H27" s="24"/>
      <c r="I27" s="24"/>
      <c r="J27" s="24"/>
      <c r="K27" s="25" t="s">
        <v>32</v>
      </c>
      <c r="L27" s="25"/>
      <c r="M27" s="25"/>
      <c r="N27" s="25"/>
      <c r="O27" s="25"/>
      <c r="P27" s="26">
        <f>1.33/1.2</f>
        <v>1.1083333333333334</v>
      </c>
      <c r="Q27" s="26"/>
      <c r="R27" s="26"/>
      <c r="S27" s="26"/>
      <c r="T27" s="26"/>
      <c r="U27" s="26">
        <f>1.35/1.2</f>
        <v>1.1250000000000002</v>
      </c>
      <c r="V27" s="26"/>
      <c r="W27" s="26"/>
      <c r="X27" s="26"/>
      <c r="Y27" s="26"/>
      <c r="Z27" s="26">
        <f>1.38/1.2</f>
        <v>1.15</v>
      </c>
      <c r="AA27" s="26"/>
      <c r="AB27" s="26"/>
      <c r="AC27" s="26"/>
      <c r="AD27" s="26"/>
      <c r="AE27" s="26">
        <f>1.4/1.2</f>
        <v>1.1666666666666667</v>
      </c>
      <c r="AF27" s="26"/>
      <c r="AG27" s="26"/>
      <c r="AH27" s="26"/>
      <c r="AI27" s="26"/>
      <c r="AJ27" s="27">
        <f>1.44/1.2</f>
        <v>1.2</v>
      </c>
      <c r="AK27" s="27"/>
      <c r="AL27" s="27"/>
      <c r="AM27" s="27"/>
      <c r="AN27" s="27"/>
      <c r="AO27" s="35"/>
      <c r="AP27" s="35"/>
      <c r="AQ27" s="35"/>
      <c r="AR27" s="35"/>
      <c r="AS27" s="35"/>
      <c r="AT27" s="35"/>
      <c r="AU27" s="35"/>
      <c r="AV27" s="35"/>
      <c r="AW27" s="35"/>
      <c r="AX27" s="35"/>
      <c r="AY27" s="35"/>
      <c r="AZ27" s="35"/>
      <c r="BA27" s="35"/>
      <c r="BB27" s="35"/>
      <c r="BC27" s="35"/>
      <c r="BD27" s="35"/>
      <c r="BE27" s="35"/>
    </row>
    <row r="28" ht="21.95" customHeight="1" spans="1:57" x14ac:dyDescent="0.25">
      <c r="A28" s="13"/>
      <c r="B28" s="13"/>
      <c r="C28" s="13"/>
      <c r="D28" s="13"/>
      <c r="E28" s="28" t="s">
        <v>33</v>
      </c>
      <c r="F28" s="28"/>
      <c r="G28" s="28"/>
      <c r="H28" s="28"/>
      <c r="I28" s="28"/>
      <c r="J28" s="28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16"/>
      <c r="AK28" s="16"/>
      <c r="AL28" s="16"/>
      <c r="AM28" s="16"/>
      <c r="AN28" s="16"/>
      <c r="AO28" s="35"/>
      <c r="AP28" s="35"/>
      <c r="AQ28" s="35"/>
      <c r="AR28" s="35"/>
      <c r="AS28" s="35"/>
      <c r="AT28" s="35"/>
      <c r="AU28" s="35"/>
      <c r="AV28" s="35"/>
      <c r="AW28" s="35"/>
      <c r="AX28" s="35"/>
      <c r="AY28" s="35"/>
      <c r="AZ28" s="35"/>
      <c r="BA28" s="35"/>
      <c r="BB28" s="35"/>
      <c r="BC28" s="35"/>
      <c r="BD28" s="35"/>
      <c r="BE28" s="35"/>
    </row>
    <row r="29" ht="21.95" customHeight="1" spans="1:57" x14ac:dyDescent="0.25">
      <c r="A29" s="13"/>
      <c r="B29" s="13"/>
      <c r="C29" s="13"/>
      <c r="D29" s="13"/>
      <c r="E29" s="28"/>
      <c r="F29" s="28"/>
      <c r="G29" s="28"/>
      <c r="H29" s="28"/>
      <c r="I29" s="28"/>
      <c r="J29" s="28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16"/>
      <c r="AK29" s="16"/>
      <c r="AL29" s="16"/>
      <c r="AM29" s="16"/>
      <c r="AN29" s="16"/>
      <c r="AO29" s="35"/>
      <c r="AP29" s="35"/>
      <c r="AQ29" s="35"/>
      <c r="AR29" s="35"/>
      <c r="AS29" s="35"/>
      <c r="AT29" s="35"/>
      <c r="AU29" s="35"/>
      <c r="AV29" s="35"/>
      <c r="AW29" s="35"/>
      <c r="AX29" s="35"/>
      <c r="AY29" s="35"/>
      <c r="AZ29" s="35"/>
      <c r="BA29" s="35"/>
      <c r="BB29" s="35"/>
      <c r="BC29" s="35"/>
      <c r="BD29" s="35"/>
      <c r="BE29" s="35"/>
    </row>
    <row r="30" ht="21.95" customHeight="1" spans="1:57" x14ac:dyDescent="0.25">
      <c r="A30" s="13"/>
      <c r="B30" s="13"/>
      <c r="C30" s="13"/>
      <c r="D30" s="13"/>
      <c r="E30" s="28"/>
      <c r="F30" s="28"/>
      <c r="G30" s="28"/>
      <c r="H30" s="28"/>
      <c r="I30" s="28"/>
      <c r="J30" s="28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16"/>
      <c r="AK30" s="16"/>
      <c r="AL30" s="16"/>
      <c r="AM30" s="16"/>
      <c r="AN30" s="16"/>
      <c r="AO30" s="35"/>
      <c r="AP30" s="35"/>
      <c r="AQ30" s="35"/>
      <c r="AR30" s="35"/>
      <c r="AS30" s="35"/>
      <c r="AT30" s="35"/>
      <c r="AU30" s="35"/>
      <c r="AV30" s="35"/>
      <c r="AW30" s="35"/>
      <c r="AX30" s="35"/>
      <c r="AY30" s="35"/>
      <c r="AZ30" s="35"/>
      <c r="BA30" s="35"/>
      <c r="BB30" s="35"/>
      <c r="BC30" s="35"/>
      <c r="BD30" s="35"/>
      <c r="BE30" s="35"/>
    </row>
    <row r="31" ht="23.1" customHeight="1" spans="1:57" x14ac:dyDescent="0.25">
      <c r="A31" s="1"/>
      <c r="B31" s="1"/>
      <c r="C31" s="1"/>
      <c r="D31" s="1"/>
      <c r="E31" s="36" t="s">
        <v>53</v>
      </c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  <c r="AJ31" s="36"/>
      <c r="AK31" s="36"/>
      <c r="AL31" s="36"/>
      <c r="AM31" s="36"/>
      <c r="AN31" s="36"/>
      <c r="AO31" s="36"/>
      <c r="AP31" s="36"/>
      <c r="AQ31" s="36"/>
      <c r="AR31" s="36"/>
      <c r="AS31" s="36"/>
      <c r="AT31" s="36"/>
      <c r="AU31" s="36"/>
      <c r="AV31" s="36"/>
      <c r="AW31" s="36"/>
      <c r="AX31" s="36"/>
      <c r="AY31" s="36"/>
      <c r="AZ31" s="36"/>
      <c r="BA31" s="36"/>
      <c r="BB31" s="36"/>
      <c r="BC31" s="36"/>
      <c r="BD31" s="36"/>
      <c r="BE31" s="36"/>
    </row>
    <row r="32" ht="23.1" customHeight="1" spans="1:57" x14ac:dyDescent="0.25">
      <c r="A32" s="1"/>
      <c r="B32" s="1"/>
      <c r="C32" s="1"/>
      <c r="D32" s="1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  <c r="AK32" s="36"/>
      <c r="AL32" s="36"/>
      <c r="AM32" s="36"/>
      <c r="AN32" s="36"/>
      <c r="AO32" s="36"/>
      <c r="AP32" s="36"/>
      <c r="AQ32" s="36"/>
      <c r="AR32" s="36"/>
      <c r="AS32" s="36"/>
      <c r="AT32" s="36"/>
      <c r="AU32" s="36"/>
      <c r="AV32" s="36"/>
      <c r="AW32" s="36"/>
      <c r="AX32" s="36"/>
      <c r="AY32" s="36"/>
      <c r="AZ32" s="36"/>
      <c r="BA32" s="36"/>
      <c r="BB32" s="36"/>
      <c r="BC32" s="36"/>
      <c r="BD32" s="36"/>
      <c r="BE32" s="36"/>
    </row>
    <row r="33" ht="23.1" customHeight="1" spans="1:57" x14ac:dyDescent="0.25">
      <c r="A33" s="1"/>
      <c r="B33" s="1"/>
      <c r="C33" s="1"/>
      <c r="D33" s="1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36"/>
      <c r="AU33" s="36"/>
      <c r="AV33" s="36"/>
      <c r="AW33" s="36"/>
      <c r="AX33" s="36"/>
      <c r="AY33" s="36"/>
      <c r="AZ33" s="36"/>
      <c r="BA33" s="36"/>
      <c r="BB33" s="36"/>
      <c r="BC33" s="36"/>
      <c r="BD33" s="36"/>
      <c r="BE33" s="36"/>
    </row>
    <row r="34" ht="23.1" customHeight="1" spans="1:57" x14ac:dyDescent="0.25">
      <c r="A34" s="37"/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38"/>
      <c r="AH34" s="38"/>
      <c r="AI34" s="38"/>
      <c r="AJ34" s="38"/>
      <c r="AK34" s="38"/>
      <c r="AL34" s="38"/>
      <c r="AM34" s="38"/>
      <c r="AN34" s="38"/>
      <c r="AO34" s="38"/>
      <c r="AP34" s="38"/>
      <c r="AQ34" s="38"/>
      <c r="AR34" s="38"/>
      <c r="AS34" s="38"/>
      <c r="AT34" s="38"/>
      <c r="AU34" s="38"/>
      <c r="AV34" s="38"/>
      <c r="AW34" s="38"/>
      <c r="AX34" s="38"/>
      <c r="AY34" s="38"/>
      <c r="AZ34" s="38"/>
      <c r="BA34" s="38"/>
      <c r="BB34" s="38"/>
      <c r="BC34" s="38"/>
      <c r="BD34" s="38"/>
      <c r="BE34" s="39"/>
    </row>
    <row r="35" ht="23.1" customHeight="1" spans="1:57" x14ac:dyDescent="0.25">
      <c r="A35" s="40"/>
      <c r="B35" s="41" t="s">
        <v>54</v>
      </c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2"/>
      <c r="AK35" s="43" t="s">
        <v>55</v>
      </c>
      <c r="AL35" s="43"/>
      <c r="AM35" s="43"/>
      <c r="AN35" s="43"/>
      <c r="AO35" s="43"/>
      <c r="AP35" s="43"/>
      <c r="AQ35" s="43"/>
      <c r="AR35" s="43"/>
      <c r="AS35" s="43"/>
      <c r="AT35" s="43"/>
      <c r="AU35" s="43"/>
      <c r="AV35" s="43"/>
      <c r="AW35" s="43"/>
      <c r="AX35" s="43"/>
      <c r="AY35" s="43"/>
      <c r="AZ35" s="43"/>
      <c r="BA35" s="43"/>
      <c r="BB35" s="43"/>
      <c r="BC35" s="43"/>
      <c r="BD35" s="43"/>
      <c r="BE35" s="44"/>
    </row>
    <row r="36" ht="23.1" customHeight="1" spans="1:57" x14ac:dyDescent="0.25">
      <c r="A36" s="45"/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46"/>
      <c r="AE36" s="46"/>
      <c r="AF36" s="46"/>
      <c r="AG36" s="46"/>
      <c r="AH36" s="46"/>
      <c r="AI36" s="46"/>
      <c r="AJ36" s="42"/>
      <c r="AK36" s="47"/>
      <c r="AL36" s="47"/>
      <c r="AM36" s="47"/>
      <c r="AN36" s="47"/>
      <c r="AO36" s="47"/>
      <c r="AP36" s="47"/>
      <c r="AQ36" s="47"/>
      <c r="AR36" s="47"/>
      <c r="AS36" s="47"/>
      <c r="AT36" s="47"/>
      <c r="AU36" s="47"/>
      <c r="AV36" s="47"/>
      <c r="AW36" s="47"/>
      <c r="AX36" s="47"/>
      <c r="AY36" s="47"/>
      <c r="AZ36" s="47"/>
      <c r="BA36" s="47"/>
      <c r="BB36" s="47"/>
      <c r="BC36" s="47"/>
      <c r="BD36" s="47"/>
      <c r="BE36" s="44"/>
    </row>
    <row r="37" ht="23.1" customHeight="1" spans="1:57" x14ac:dyDescent="0.25">
      <c r="A37" s="45"/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  <c r="AG37" s="46"/>
      <c r="AH37" s="46"/>
      <c r="AI37" s="46"/>
      <c r="AJ37" s="42"/>
      <c r="AK37" s="47"/>
      <c r="AL37" s="47"/>
      <c r="AM37" s="47"/>
      <c r="AN37" s="47"/>
      <c r="AO37" s="47"/>
      <c r="AP37" s="47"/>
      <c r="AQ37" s="47"/>
      <c r="AR37" s="47"/>
      <c r="AS37" s="47"/>
      <c r="AT37" s="47"/>
      <c r="AU37" s="47"/>
      <c r="AV37" s="47"/>
      <c r="AW37" s="47"/>
      <c r="AX37" s="47"/>
      <c r="AY37" s="47"/>
      <c r="AZ37" s="47"/>
      <c r="BA37" s="47"/>
      <c r="BB37" s="47"/>
      <c r="BC37" s="47"/>
      <c r="BD37" s="47"/>
      <c r="BE37" s="44"/>
    </row>
    <row r="38" ht="23.1" customHeight="1" spans="1:57" x14ac:dyDescent="0.25">
      <c r="A38" s="45"/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  <c r="AA38" s="46"/>
      <c r="AB38" s="46"/>
      <c r="AC38" s="46"/>
      <c r="AD38" s="46"/>
      <c r="AE38" s="46"/>
      <c r="AF38" s="46"/>
      <c r="AG38" s="46"/>
      <c r="AH38" s="46"/>
      <c r="AI38" s="46"/>
      <c r="AJ38" s="42"/>
      <c r="AK38" s="47"/>
      <c r="AL38" s="47"/>
      <c r="AM38" s="47"/>
      <c r="AN38" s="47"/>
      <c r="AO38" s="47"/>
      <c r="AP38" s="47"/>
      <c r="AQ38" s="47"/>
      <c r="AR38" s="47"/>
      <c r="AS38" s="47"/>
      <c r="AT38" s="47"/>
      <c r="AU38" s="47"/>
      <c r="AV38" s="47"/>
      <c r="AW38" s="47"/>
      <c r="AX38" s="47"/>
      <c r="AY38" s="47"/>
      <c r="AZ38" s="47"/>
      <c r="BA38" s="47"/>
      <c r="BB38" s="47"/>
      <c r="BC38" s="47"/>
      <c r="BD38" s="47"/>
      <c r="BE38" s="44"/>
    </row>
    <row r="39" ht="23.1" customHeight="1" spans="1:57" x14ac:dyDescent="0.25">
      <c r="A39" s="45"/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6"/>
      <c r="AF39" s="46"/>
      <c r="AG39" s="46"/>
      <c r="AH39" s="46"/>
      <c r="AI39" s="46"/>
      <c r="AJ39" s="42"/>
      <c r="AK39" s="47"/>
      <c r="AL39" s="47"/>
      <c r="AM39" s="47"/>
      <c r="AN39" s="47"/>
      <c r="AO39" s="47"/>
      <c r="AP39" s="47"/>
      <c r="AQ39" s="47"/>
      <c r="AR39" s="47"/>
      <c r="AS39" s="47"/>
      <c r="AT39" s="47"/>
      <c r="AU39" s="47"/>
      <c r="AV39" s="47"/>
      <c r="AW39" s="47"/>
      <c r="AX39" s="47"/>
      <c r="AY39" s="47"/>
      <c r="AZ39" s="47"/>
      <c r="BA39" s="47"/>
      <c r="BB39" s="47"/>
      <c r="BC39" s="47"/>
      <c r="BD39" s="47"/>
      <c r="BE39" s="44"/>
    </row>
    <row r="40" ht="23.1" customHeight="1" spans="1:57" x14ac:dyDescent="0.25">
      <c r="A40" s="45"/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  <c r="AC40" s="46"/>
      <c r="AD40" s="46"/>
      <c r="AE40" s="46"/>
      <c r="AF40" s="46"/>
      <c r="AG40" s="46"/>
      <c r="AH40" s="46"/>
      <c r="AI40" s="46"/>
      <c r="AJ40" s="42"/>
      <c r="AK40" s="47"/>
      <c r="AL40" s="47"/>
      <c r="AM40" s="47"/>
      <c r="AN40" s="47"/>
      <c r="AO40" s="47"/>
      <c r="AP40" s="47"/>
      <c r="AQ40" s="47"/>
      <c r="AR40" s="47"/>
      <c r="AS40" s="47"/>
      <c r="AT40" s="47"/>
      <c r="AU40" s="47"/>
      <c r="AV40" s="47"/>
      <c r="AW40" s="47"/>
      <c r="AX40" s="47"/>
      <c r="AY40" s="47"/>
      <c r="AZ40" s="47"/>
      <c r="BA40" s="47"/>
      <c r="BB40" s="47"/>
      <c r="BC40" s="47"/>
      <c r="BD40" s="47"/>
      <c r="BE40" s="44"/>
    </row>
    <row r="41" ht="23.1" customHeight="1" spans="1:57" x14ac:dyDescent="0.25">
      <c r="A41" s="45"/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6"/>
      <c r="AI41" s="46"/>
      <c r="AJ41" s="42"/>
      <c r="AK41" s="47"/>
      <c r="AL41" s="47"/>
      <c r="AM41" s="47"/>
      <c r="AN41" s="47"/>
      <c r="AO41" s="47"/>
      <c r="AP41" s="47"/>
      <c r="AQ41" s="47"/>
      <c r="AR41" s="47"/>
      <c r="AS41" s="47"/>
      <c r="AT41" s="47"/>
      <c r="AU41" s="47"/>
      <c r="AV41" s="47"/>
      <c r="AW41" s="47"/>
      <c r="AX41" s="47"/>
      <c r="AY41" s="47"/>
      <c r="AZ41" s="47"/>
      <c r="BA41" s="47"/>
      <c r="BB41" s="47"/>
      <c r="BC41" s="47"/>
      <c r="BD41" s="47"/>
      <c r="BE41" s="44"/>
    </row>
    <row r="42" ht="23.1" customHeight="1" spans="1:57" x14ac:dyDescent="0.25">
      <c r="A42" s="45"/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  <c r="AG42" s="46"/>
      <c r="AH42" s="46"/>
      <c r="AI42" s="46"/>
      <c r="AJ42" s="42"/>
      <c r="AK42" s="47"/>
      <c r="AL42" s="47"/>
      <c r="AM42" s="47"/>
      <c r="AN42" s="47"/>
      <c r="AO42" s="47"/>
      <c r="AP42" s="47"/>
      <c r="AQ42" s="47"/>
      <c r="AR42" s="47"/>
      <c r="AS42" s="47"/>
      <c r="AT42" s="47"/>
      <c r="AU42" s="47"/>
      <c r="AV42" s="47"/>
      <c r="AW42" s="47"/>
      <c r="AX42" s="47"/>
      <c r="AY42" s="47"/>
      <c r="AZ42" s="47"/>
      <c r="BA42" s="47"/>
      <c r="BB42" s="47"/>
      <c r="BC42" s="47"/>
      <c r="BD42" s="47"/>
      <c r="BE42" s="44"/>
    </row>
    <row r="43" ht="23.1" customHeight="1" spans="1:57" x14ac:dyDescent="0.25">
      <c r="A43" s="45"/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  <c r="AG43" s="46"/>
      <c r="AH43" s="46"/>
      <c r="AI43" s="46"/>
      <c r="AJ43" s="42"/>
      <c r="AK43" s="47"/>
      <c r="AL43" s="47"/>
      <c r="AM43" s="47"/>
      <c r="AN43" s="47"/>
      <c r="AO43" s="47"/>
      <c r="AP43" s="47"/>
      <c r="AQ43" s="47"/>
      <c r="AR43" s="47"/>
      <c r="AS43" s="47"/>
      <c r="AT43" s="47"/>
      <c r="AU43" s="47"/>
      <c r="AV43" s="47"/>
      <c r="AW43" s="47"/>
      <c r="AX43" s="47"/>
      <c r="AY43" s="47"/>
      <c r="AZ43" s="47"/>
      <c r="BA43" s="47"/>
      <c r="BB43" s="47"/>
      <c r="BC43" s="47"/>
      <c r="BD43" s="47"/>
      <c r="BE43" s="44"/>
    </row>
    <row r="44" ht="23.1" customHeight="1" spans="1:57" x14ac:dyDescent="0.25">
      <c r="A44" s="45"/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  <c r="AG44" s="46"/>
      <c r="AH44" s="46"/>
      <c r="AI44" s="46"/>
      <c r="AJ44" s="42"/>
      <c r="AK44" s="47"/>
      <c r="AL44" s="47"/>
      <c r="AM44" s="47"/>
      <c r="AN44" s="47"/>
      <c r="AO44" s="47"/>
      <c r="AP44" s="47"/>
      <c r="AQ44" s="47"/>
      <c r="AR44" s="47"/>
      <c r="AS44" s="47"/>
      <c r="AT44" s="47"/>
      <c r="AU44" s="47"/>
      <c r="AV44" s="47"/>
      <c r="AW44" s="47"/>
      <c r="AX44" s="47"/>
      <c r="AY44" s="47"/>
      <c r="AZ44" s="47"/>
      <c r="BA44" s="47"/>
      <c r="BB44" s="47"/>
      <c r="BC44" s="47"/>
      <c r="BD44" s="47"/>
      <c r="BE44" s="44"/>
    </row>
    <row r="45" ht="23.1" customHeight="1" spans="1:57" x14ac:dyDescent="0.25">
      <c r="A45" s="45"/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  <c r="AG45" s="46"/>
      <c r="AH45" s="46"/>
      <c r="AI45" s="46"/>
      <c r="AJ45" s="42"/>
      <c r="AK45" s="47"/>
      <c r="AL45" s="47"/>
      <c r="AM45" s="47"/>
      <c r="AN45" s="47"/>
      <c r="AO45" s="47"/>
      <c r="AP45" s="47"/>
      <c r="AQ45" s="47"/>
      <c r="AR45" s="47"/>
      <c r="AS45" s="47"/>
      <c r="AT45" s="47"/>
      <c r="AU45" s="47"/>
      <c r="AV45" s="47"/>
      <c r="AW45" s="47"/>
      <c r="AX45" s="47"/>
      <c r="AY45" s="47"/>
      <c r="AZ45" s="47"/>
      <c r="BA45" s="47"/>
      <c r="BB45" s="47"/>
      <c r="BC45" s="47"/>
      <c r="BD45" s="47"/>
      <c r="BE45" s="44"/>
    </row>
    <row r="46" ht="23.1" customHeight="1" spans="1:57" x14ac:dyDescent="0.25">
      <c r="A46" s="45"/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  <c r="AG46" s="46"/>
      <c r="AH46" s="46"/>
      <c r="AI46" s="46"/>
      <c r="AJ46" s="42"/>
      <c r="AK46" s="47"/>
      <c r="AL46" s="47"/>
      <c r="AM46" s="47"/>
      <c r="AN46" s="47"/>
      <c r="AO46" s="47"/>
      <c r="AP46" s="47"/>
      <c r="AQ46" s="47"/>
      <c r="AR46" s="47"/>
      <c r="AS46" s="47"/>
      <c r="AT46" s="47"/>
      <c r="AU46" s="47"/>
      <c r="AV46" s="47"/>
      <c r="AW46" s="47"/>
      <c r="AX46" s="47"/>
      <c r="AY46" s="47"/>
      <c r="AZ46" s="47"/>
      <c r="BA46" s="47"/>
      <c r="BB46" s="47"/>
      <c r="BC46" s="47"/>
      <c r="BD46" s="47"/>
      <c r="BE46" s="44"/>
    </row>
    <row r="47" ht="23.1" customHeight="1" spans="1:57" x14ac:dyDescent="0.25">
      <c r="A47" s="45"/>
      <c r="B47" s="46"/>
      <c r="C47" s="46"/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  <c r="AB47" s="46"/>
      <c r="AC47" s="46"/>
      <c r="AD47" s="46"/>
      <c r="AE47" s="46"/>
      <c r="AF47" s="46"/>
      <c r="AG47" s="46"/>
      <c r="AH47" s="46"/>
      <c r="AI47" s="46"/>
      <c r="AJ47" s="42"/>
      <c r="AK47" s="47"/>
      <c r="AL47" s="47"/>
      <c r="AM47" s="47"/>
      <c r="AN47" s="47"/>
      <c r="AO47" s="47"/>
      <c r="AP47" s="47"/>
      <c r="AQ47" s="47"/>
      <c r="AR47" s="47"/>
      <c r="AS47" s="47"/>
      <c r="AT47" s="47"/>
      <c r="AU47" s="47"/>
      <c r="AV47" s="47"/>
      <c r="AW47" s="47"/>
      <c r="AX47" s="47"/>
      <c r="AY47" s="47"/>
      <c r="AZ47" s="47"/>
      <c r="BA47" s="47"/>
      <c r="BB47" s="47"/>
      <c r="BC47" s="47"/>
      <c r="BD47" s="47"/>
      <c r="BE47" s="44"/>
    </row>
    <row r="48" ht="23.1" customHeight="1" spans="1:57" x14ac:dyDescent="0.25">
      <c r="A48" s="45"/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  <c r="AG48" s="46"/>
      <c r="AH48" s="46"/>
      <c r="AI48" s="46"/>
      <c r="AJ48" s="42"/>
      <c r="AK48" s="47"/>
      <c r="AL48" s="47"/>
      <c r="AM48" s="47"/>
      <c r="AN48" s="47"/>
      <c r="AO48" s="47"/>
      <c r="AP48" s="47"/>
      <c r="AQ48" s="47"/>
      <c r="AR48" s="47"/>
      <c r="AS48" s="47"/>
      <c r="AT48" s="47"/>
      <c r="AU48" s="47"/>
      <c r="AV48" s="47"/>
      <c r="AW48" s="47"/>
      <c r="AX48" s="47"/>
      <c r="AY48" s="47"/>
      <c r="AZ48" s="47"/>
      <c r="BA48" s="47"/>
      <c r="BB48" s="47"/>
      <c r="BC48" s="47"/>
      <c r="BD48" s="47"/>
      <c r="BE48" s="44"/>
    </row>
    <row r="49" ht="23.1" customHeight="1" spans="1:57" x14ac:dyDescent="0.25">
      <c r="A49" s="45"/>
      <c r="B49" s="46"/>
      <c r="C49" s="46"/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6"/>
      <c r="AC49" s="46"/>
      <c r="AD49" s="46"/>
      <c r="AE49" s="46"/>
      <c r="AF49" s="46"/>
      <c r="AG49" s="46"/>
      <c r="AH49" s="46"/>
      <c r="AI49" s="46"/>
      <c r="AJ49" s="42"/>
      <c r="AK49" s="48"/>
      <c r="AL49" s="49"/>
      <c r="AM49" s="49"/>
      <c r="AN49" s="49"/>
      <c r="AO49" s="49"/>
      <c r="AP49" s="49"/>
      <c r="AQ49" s="49"/>
      <c r="AR49" s="49"/>
      <c r="AS49" s="49"/>
      <c r="AT49" s="49"/>
      <c r="AU49" s="49"/>
      <c r="AV49" s="49"/>
      <c r="AW49" s="49"/>
      <c r="AX49" s="49"/>
      <c r="AY49" s="49"/>
      <c r="AZ49" s="49"/>
      <c r="BA49" s="49"/>
      <c r="BB49" s="49"/>
      <c r="BC49" s="49"/>
      <c r="BD49" s="50"/>
      <c r="BE49" s="44"/>
    </row>
    <row r="50" ht="23.1" customHeight="1" spans="1:57" x14ac:dyDescent="0.25">
      <c r="A50" s="45"/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6"/>
      <c r="AC50" s="46"/>
      <c r="AD50" s="46"/>
      <c r="AE50" s="46"/>
      <c r="AF50" s="46"/>
      <c r="AG50" s="46"/>
      <c r="AH50" s="46"/>
      <c r="AI50" s="46"/>
      <c r="AJ50" s="42"/>
      <c r="AK50" s="51"/>
      <c r="AL50" s="29" t="s">
        <v>56</v>
      </c>
      <c r="AM50" s="29"/>
      <c r="AN50" s="29"/>
      <c r="AO50" s="29"/>
      <c r="AP50" s="29"/>
      <c r="AQ50" s="25" t="s">
        <v>57</v>
      </c>
      <c r="AR50" s="25"/>
      <c r="AS50" s="25"/>
      <c r="AT50" s="25"/>
      <c r="AU50" s="25"/>
      <c r="AV50" s="25"/>
      <c r="AW50" s="25"/>
      <c r="AX50" s="25"/>
      <c r="AY50" s="25"/>
      <c r="AZ50" s="52" t="s">
        <v>58</v>
      </c>
      <c r="BA50" s="52"/>
      <c r="BB50" s="52"/>
      <c r="BC50" s="52"/>
      <c r="BD50" s="53"/>
      <c r="BE50" s="44"/>
    </row>
    <row r="51" ht="23.1" customHeight="1" spans="1:57" x14ac:dyDescent="0.25">
      <c r="A51" s="45"/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46"/>
      <c r="AD51" s="46"/>
      <c r="AE51" s="46"/>
      <c r="AF51" s="46"/>
      <c r="AG51" s="46"/>
      <c r="AH51" s="46"/>
      <c r="AI51" s="46"/>
      <c r="AJ51" s="42"/>
      <c r="AK51" s="51"/>
      <c r="AL51" s="29"/>
      <c r="AM51" s="29"/>
      <c r="AN51" s="29"/>
      <c r="AO51" s="29"/>
      <c r="AP51" s="29"/>
      <c r="AQ51" s="25"/>
      <c r="AR51" s="25"/>
      <c r="AS51" s="25"/>
      <c r="AT51" s="25"/>
      <c r="AU51" s="25"/>
      <c r="AV51" s="25"/>
      <c r="AW51" s="25"/>
      <c r="AX51" s="25"/>
      <c r="AY51" s="25"/>
      <c r="AZ51" s="52"/>
      <c r="BA51" s="52"/>
      <c r="BB51" s="52"/>
      <c r="BC51" s="52"/>
      <c r="BD51" s="53"/>
      <c r="BE51" s="44"/>
    </row>
    <row r="52" ht="23.1" customHeight="1" spans="1:57" x14ac:dyDescent="0.25">
      <c r="A52" s="45"/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  <c r="AC52" s="46"/>
      <c r="AD52" s="46"/>
      <c r="AE52" s="46"/>
      <c r="AF52" s="46"/>
      <c r="AG52" s="46"/>
      <c r="AH52" s="46"/>
      <c r="AI52" s="46"/>
      <c r="AJ52" s="42"/>
      <c r="AK52" s="51"/>
      <c r="AL52" s="54" t="s">
        <v>19</v>
      </c>
      <c r="AM52" s="54"/>
      <c r="AN52" s="54"/>
      <c r="AO52" s="54"/>
      <c r="AP52" s="54"/>
      <c r="AQ52" s="55" t="s">
        <v>59</v>
      </c>
      <c r="AR52" s="55"/>
      <c r="AS52" s="55"/>
      <c r="AT52" s="55"/>
      <c r="AU52" s="55"/>
      <c r="AV52" s="55"/>
      <c r="AW52" s="55"/>
      <c r="AX52" s="55"/>
      <c r="AY52" s="55"/>
      <c r="AZ52" s="52" t="s">
        <v>60</v>
      </c>
      <c r="BA52" s="52"/>
      <c r="BB52" s="52"/>
      <c r="BC52" s="52"/>
      <c r="BD52" s="53"/>
      <c r="BE52" s="44"/>
    </row>
    <row r="53" ht="23.1" customHeight="1" spans="1:57" x14ac:dyDescent="0.25">
      <c r="A53" s="45"/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46"/>
      <c r="AD53" s="46"/>
      <c r="AE53" s="46"/>
      <c r="AF53" s="46"/>
      <c r="AG53" s="46"/>
      <c r="AH53" s="46"/>
      <c r="AI53" s="46"/>
      <c r="AJ53" s="42"/>
      <c r="AK53" s="51"/>
      <c r="AL53" s="54"/>
      <c r="AM53" s="54"/>
      <c r="AN53" s="54"/>
      <c r="AO53" s="54"/>
      <c r="AP53" s="54"/>
      <c r="AQ53" s="55"/>
      <c r="AR53" s="55"/>
      <c r="AS53" s="55"/>
      <c r="AT53" s="55"/>
      <c r="AU53" s="55"/>
      <c r="AV53" s="55"/>
      <c r="AW53" s="55"/>
      <c r="AX53" s="55"/>
      <c r="AY53" s="55"/>
      <c r="AZ53" s="52"/>
      <c r="BA53" s="52"/>
      <c r="BB53" s="52"/>
      <c r="BC53" s="52"/>
      <c r="BD53" s="53"/>
      <c r="BE53" s="44"/>
    </row>
    <row r="54" ht="23.1" customHeight="1" spans="1:57" x14ac:dyDescent="0.25">
      <c r="A54" s="45"/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  <c r="AC54" s="46"/>
      <c r="AD54" s="46"/>
      <c r="AE54" s="46"/>
      <c r="AF54" s="46"/>
      <c r="AG54" s="46"/>
      <c r="AH54" s="46"/>
      <c r="AI54" s="46"/>
      <c r="AJ54" s="42"/>
      <c r="AK54" s="51"/>
      <c r="AL54" s="54" t="s">
        <v>41</v>
      </c>
      <c r="AM54" s="54"/>
      <c r="AN54" s="54"/>
      <c r="AO54" s="54"/>
      <c r="AP54" s="54"/>
      <c r="AQ54" s="55" t="s">
        <v>61</v>
      </c>
      <c r="AR54" s="55"/>
      <c r="AS54" s="55"/>
      <c r="AT54" s="55"/>
      <c r="AU54" s="55"/>
      <c r="AV54" s="55"/>
      <c r="AW54" s="55"/>
      <c r="AX54" s="55"/>
      <c r="AY54" s="55"/>
      <c r="AZ54" s="56" t="s">
        <v>62</v>
      </c>
      <c r="BA54" s="56"/>
      <c r="BB54" s="56"/>
      <c r="BC54" s="56"/>
      <c r="BD54" s="53"/>
      <c r="BE54" s="44"/>
    </row>
    <row r="55" ht="23.1" customHeight="1" spans="1:57" x14ac:dyDescent="0.25">
      <c r="A55" s="45"/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46"/>
      <c r="AC55" s="46"/>
      <c r="AD55" s="46"/>
      <c r="AE55" s="46"/>
      <c r="AF55" s="46"/>
      <c r="AG55" s="46"/>
      <c r="AH55" s="46"/>
      <c r="AI55" s="46"/>
      <c r="AJ55" s="42"/>
      <c r="AK55" s="51"/>
      <c r="AL55" s="54"/>
      <c r="AM55" s="54"/>
      <c r="AN55" s="54"/>
      <c r="AO55" s="54"/>
      <c r="AP55" s="54"/>
      <c r="AQ55" s="55"/>
      <c r="AR55" s="55"/>
      <c r="AS55" s="55"/>
      <c r="AT55" s="55"/>
      <c r="AU55" s="55"/>
      <c r="AV55" s="55"/>
      <c r="AW55" s="55"/>
      <c r="AX55" s="55"/>
      <c r="AY55" s="55"/>
      <c r="AZ55" s="56"/>
      <c r="BA55" s="56"/>
      <c r="BB55" s="56"/>
      <c r="BC55" s="56"/>
      <c r="BD55" s="53"/>
      <c r="BE55" s="44"/>
    </row>
    <row r="56" ht="23.1" customHeight="1" spans="1:57" x14ac:dyDescent="0.25">
      <c r="A56" s="45"/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6"/>
      <c r="AC56" s="46"/>
      <c r="AD56" s="46"/>
      <c r="AE56" s="46"/>
      <c r="AF56" s="46"/>
      <c r="AG56" s="46"/>
      <c r="AH56" s="46"/>
      <c r="AI56" s="46"/>
      <c r="AJ56" s="42"/>
      <c r="AK56" s="51"/>
      <c r="AL56" s="54" t="s">
        <v>50</v>
      </c>
      <c r="AM56" s="54"/>
      <c r="AN56" s="54"/>
      <c r="AO56" s="54"/>
      <c r="AP56" s="54"/>
      <c r="AQ56" s="55" t="s">
        <v>63</v>
      </c>
      <c r="AR56" s="55"/>
      <c r="AS56" s="55"/>
      <c r="AT56" s="55"/>
      <c r="AU56" s="55"/>
      <c r="AV56" s="55"/>
      <c r="AW56" s="55"/>
      <c r="AX56" s="55"/>
      <c r="AY56" s="55"/>
      <c r="AZ56" s="56"/>
      <c r="BA56" s="56"/>
      <c r="BB56" s="56"/>
      <c r="BC56" s="56"/>
      <c r="BD56" s="53"/>
      <c r="BE56" s="44"/>
    </row>
    <row r="57" ht="23.1" customHeight="1" spans="1:57" x14ac:dyDescent="0.25">
      <c r="A57" s="45"/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46"/>
      <c r="AC57" s="46"/>
      <c r="AD57" s="46"/>
      <c r="AE57" s="46"/>
      <c r="AF57" s="46"/>
      <c r="AG57" s="46"/>
      <c r="AH57" s="46"/>
      <c r="AI57" s="46"/>
      <c r="AJ57" s="42"/>
      <c r="AK57" s="51"/>
      <c r="AL57" s="54"/>
      <c r="AM57" s="54"/>
      <c r="AN57" s="54"/>
      <c r="AO57" s="54"/>
      <c r="AP57" s="54"/>
      <c r="AQ57" s="55"/>
      <c r="AR57" s="55"/>
      <c r="AS57" s="55"/>
      <c r="AT57" s="55"/>
      <c r="AU57" s="55"/>
      <c r="AV57" s="55"/>
      <c r="AW57" s="55"/>
      <c r="AX57" s="55"/>
      <c r="AY57" s="55"/>
      <c r="AZ57" s="56"/>
      <c r="BA57" s="56"/>
      <c r="BB57" s="56"/>
      <c r="BC57" s="56"/>
      <c r="BD57" s="53"/>
      <c r="BE57" s="44"/>
    </row>
    <row r="58" ht="23.1" customHeight="1" spans="1:57" x14ac:dyDescent="0.25">
      <c r="A58" s="45"/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6"/>
      <c r="AC58" s="46"/>
      <c r="AD58" s="46"/>
      <c r="AE58" s="46"/>
      <c r="AF58" s="46"/>
      <c r="AG58" s="46"/>
      <c r="AH58" s="46"/>
      <c r="AI58" s="46"/>
      <c r="AJ58" s="42"/>
      <c r="AK58" s="57"/>
      <c r="AL58" s="58"/>
      <c r="AM58" s="58"/>
      <c r="AN58" s="58"/>
      <c r="AO58" s="58"/>
      <c r="AP58" s="58"/>
      <c r="AQ58" s="58"/>
      <c r="AR58" s="58"/>
      <c r="AS58" s="58"/>
      <c r="AT58" s="58"/>
      <c r="AU58" s="58"/>
      <c r="AV58" s="58"/>
      <c r="AW58" s="58"/>
      <c r="AX58" s="58"/>
      <c r="AY58" s="58"/>
      <c r="AZ58" s="58"/>
      <c r="BA58" s="58"/>
      <c r="BB58" s="58"/>
      <c r="BC58" s="58"/>
      <c r="BD58" s="59"/>
      <c r="BE58" s="44"/>
    </row>
    <row r="59" ht="23.1" customHeight="1" spans="1:57" x14ac:dyDescent="0.25">
      <c r="A59" s="60"/>
      <c r="B59" s="61"/>
      <c r="C59" s="61"/>
      <c r="D59" s="61"/>
      <c r="E59" s="61"/>
      <c r="F59" s="61"/>
      <c r="G59" s="61"/>
      <c r="H59" s="61"/>
      <c r="I59" s="61"/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61"/>
      <c r="AB59" s="61"/>
      <c r="AC59" s="61"/>
      <c r="AD59" s="61"/>
      <c r="AE59" s="61"/>
      <c r="AF59" s="61"/>
      <c r="AG59" s="61"/>
      <c r="AH59" s="61"/>
      <c r="AI59" s="61"/>
      <c r="AJ59" s="61"/>
      <c r="AK59" s="61"/>
      <c r="AL59" s="61"/>
      <c r="AM59" s="61"/>
      <c r="AN59" s="61"/>
      <c r="AO59" s="61"/>
      <c r="AP59" s="61"/>
      <c r="AQ59" s="61"/>
      <c r="AR59" s="61"/>
      <c r="AS59" s="61"/>
      <c r="AT59" s="61"/>
      <c r="AU59" s="61"/>
      <c r="AV59" s="61"/>
      <c r="AW59" s="61"/>
      <c r="AX59" s="61"/>
      <c r="AY59" s="61"/>
      <c r="AZ59" s="61"/>
      <c r="BA59" s="61"/>
      <c r="BB59" s="61"/>
      <c r="BC59" s="61"/>
      <c r="BD59" s="61"/>
      <c r="BE59" s="62"/>
    </row>
  </sheetData>
  <mergeCells count="167">
    <mergeCell ref="A1:E3"/>
    <mergeCell ref="F1:AX3"/>
    <mergeCell ref="AZ1:BB1"/>
    <mergeCell ref="BC1:BE1"/>
    <mergeCell ref="AY1:AY3"/>
    <mergeCell ref="AZ2:BB3"/>
    <mergeCell ref="BC2:BE3"/>
    <mergeCell ref="A4:E4"/>
    <mergeCell ref="F4:K4"/>
    <mergeCell ref="L4:O4"/>
    <mergeCell ref="P4:AH4"/>
    <mergeCell ref="AI4:AL4"/>
    <mergeCell ref="AM4:BE4"/>
    <mergeCell ref="A5:D6"/>
    <mergeCell ref="E5:J6"/>
    <mergeCell ref="K5:AI5"/>
    <mergeCell ref="AJ5:BE6"/>
    <mergeCell ref="K6:O6"/>
    <mergeCell ref="P6:T6"/>
    <mergeCell ref="U6:Y6"/>
    <mergeCell ref="Z6:AD6"/>
    <mergeCell ref="AE6:AI6"/>
    <mergeCell ref="A7:D14"/>
    <mergeCell ref="E7:J7"/>
    <mergeCell ref="K7:O7"/>
    <mergeCell ref="P7:T7"/>
    <mergeCell ref="U7:Y7"/>
    <mergeCell ref="Z7:AD7"/>
    <mergeCell ref="AE7:AI7"/>
    <mergeCell ref="AJ7:BE14"/>
    <mergeCell ref="E8:J8"/>
    <mergeCell ref="K8:O8"/>
    <mergeCell ref="P8:T8"/>
    <mergeCell ref="U8:Y8"/>
    <mergeCell ref="Z8:AD8"/>
    <mergeCell ref="AE8:AI8"/>
    <mergeCell ref="E9:J9"/>
    <mergeCell ref="K9:O9"/>
    <mergeCell ref="P9:T9"/>
    <mergeCell ref="U9:Y9"/>
    <mergeCell ref="Z9:AD9"/>
    <mergeCell ref="AE9:AI9"/>
    <mergeCell ref="E10:J10"/>
    <mergeCell ref="K10:O10"/>
    <mergeCell ref="P10:T10"/>
    <mergeCell ref="U10:Y10"/>
    <mergeCell ref="Z10:AD10"/>
    <mergeCell ref="AE10:AI10"/>
    <mergeCell ref="E11:J11"/>
    <mergeCell ref="K11:O11"/>
    <mergeCell ref="P11:T11"/>
    <mergeCell ref="U11:Y11"/>
    <mergeCell ref="Z11:AD11"/>
    <mergeCell ref="AE11:AI11"/>
    <mergeCell ref="E12:J14"/>
    <mergeCell ref="K12:O14"/>
    <mergeCell ref="P12:T14"/>
    <mergeCell ref="U12:Y14"/>
    <mergeCell ref="Z12:AD14"/>
    <mergeCell ref="AE12:AI14"/>
    <mergeCell ref="A15:D16"/>
    <mergeCell ref="E15:J16"/>
    <mergeCell ref="K15:AX15"/>
    <mergeCell ref="AY15:BE16"/>
    <mergeCell ref="K16:O16"/>
    <mergeCell ref="P16:T16"/>
    <mergeCell ref="U16:Y16"/>
    <mergeCell ref="Z16:AD16"/>
    <mergeCell ref="AE16:AI16"/>
    <mergeCell ref="AJ16:AN16"/>
    <mergeCell ref="AO16:AS16"/>
    <mergeCell ref="AT16:AX16"/>
    <mergeCell ref="A17:D22"/>
    <mergeCell ref="E17:J17"/>
    <mergeCell ref="K17:O17"/>
    <mergeCell ref="P17:T17"/>
    <mergeCell ref="U17:Y17"/>
    <mergeCell ref="Z17:AD17"/>
    <mergeCell ref="AE17:AI17"/>
    <mergeCell ref="AJ17:AN17"/>
    <mergeCell ref="AO17:AS17"/>
    <mergeCell ref="AT17:AX17"/>
    <mergeCell ref="AY17:BE22"/>
    <mergeCell ref="E18:J18"/>
    <mergeCell ref="K18:O18"/>
    <mergeCell ref="P18:T18"/>
    <mergeCell ref="U18:Y18"/>
    <mergeCell ref="Z18:AD18"/>
    <mergeCell ref="AE18:AI18"/>
    <mergeCell ref="AJ18:AN18"/>
    <mergeCell ref="AO18:AS18"/>
    <mergeCell ref="AT18:AX18"/>
    <mergeCell ref="E19:J19"/>
    <mergeCell ref="K19:O19"/>
    <mergeCell ref="P19:T19"/>
    <mergeCell ref="U19:Y19"/>
    <mergeCell ref="Z19:AD19"/>
    <mergeCell ref="AE19:AI19"/>
    <mergeCell ref="AJ19:AN19"/>
    <mergeCell ref="AO19:AS19"/>
    <mergeCell ref="AT19:AX19"/>
    <mergeCell ref="E20:J22"/>
    <mergeCell ref="K20:O22"/>
    <mergeCell ref="P20:T22"/>
    <mergeCell ref="U20:Y22"/>
    <mergeCell ref="Z20:AD22"/>
    <mergeCell ref="AE20:AI22"/>
    <mergeCell ref="AJ20:AN22"/>
    <mergeCell ref="AO20:AS22"/>
    <mergeCell ref="AT20:AX22"/>
    <mergeCell ref="A23:D24"/>
    <mergeCell ref="E23:J24"/>
    <mergeCell ref="K23:AN23"/>
    <mergeCell ref="AO23:BE24"/>
    <mergeCell ref="K24:O24"/>
    <mergeCell ref="P24:T24"/>
    <mergeCell ref="U24:Y24"/>
    <mergeCell ref="Z24:AD24"/>
    <mergeCell ref="AE24:AI24"/>
    <mergeCell ref="AJ24:AN24"/>
    <mergeCell ref="A25:D30"/>
    <mergeCell ref="E25:J25"/>
    <mergeCell ref="K25:O25"/>
    <mergeCell ref="P25:T25"/>
    <mergeCell ref="U25:Y25"/>
    <mergeCell ref="Z25:AD25"/>
    <mergeCell ref="AE25:AI25"/>
    <mergeCell ref="AJ25:AN25"/>
    <mergeCell ref="AO25:BE30"/>
    <mergeCell ref="E26:J26"/>
    <mergeCell ref="K26:O26"/>
    <mergeCell ref="P26:T26"/>
    <mergeCell ref="U26:Y26"/>
    <mergeCell ref="Z26:AD26"/>
    <mergeCell ref="AE26:AI26"/>
    <mergeCell ref="AJ26:AN26"/>
    <mergeCell ref="E27:J27"/>
    <mergeCell ref="K27:O27"/>
    <mergeCell ref="P27:T27"/>
    <mergeCell ref="U27:Y27"/>
    <mergeCell ref="Z27:AD27"/>
    <mergeCell ref="AE27:AI27"/>
    <mergeCell ref="AJ27:AN27"/>
    <mergeCell ref="E28:J30"/>
    <mergeCell ref="K28:O30"/>
    <mergeCell ref="P28:T30"/>
    <mergeCell ref="U28:Y30"/>
    <mergeCell ref="Z28:AD30"/>
    <mergeCell ref="AE28:AI30"/>
    <mergeCell ref="AJ28:AN30"/>
    <mergeCell ref="A31:D33"/>
    <mergeCell ref="E31:BE33"/>
    <mergeCell ref="B35:AI35"/>
    <mergeCell ref="AK35:BD35"/>
    <mergeCell ref="B36:AI58"/>
    <mergeCell ref="AK36:BD48"/>
    <mergeCell ref="AL50:AP51"/>
    <mergeCell ref="AQ50:AY51"/>
    <mergeCell ref="AZ50:BC51"/>
    <mergeCell ref="AL52:AP53"/>
    <mergeCell ref="AQ52:AY53"/>
    <mergeCell ref="AZ52:BC53"/>
    <mergeCell ref="AL54:AP55"/>
    <mergeCell ref="AQ54:AY55"/>
    <mergeCell ref="AZ54:BC57"/>
    <mergeCell ref="AL56:AP57"/>
    <mergeCell ref="AQ56:AY57"/>
  </mergeCells>
  <printOptions horizontalCentered="1" verticalCentered="1"/>
  <pageMargins left="0.3937007874015748" right="0.3937007874015748" top="0.7480314960629921" bottom="0.3937007874015748" header="0.31496062992125984" footer="0.31496062992125984"/>
  <pageSetup paperSize="9" orientation="landscape" horizontalDpi="4294967295" verticalDpi="0" scale="72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M1200-08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2026-08-23T07:26:38Z</dcterms:created>
  <dcterms:modified xsi:type="dcterms:W3CDTF">2026-08-23T07:26:38Z</dcterms:modified>
</cp:coreProperties>
</file>