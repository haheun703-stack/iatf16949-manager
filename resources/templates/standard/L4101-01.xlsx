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4101-01" state="visible" r:id="rId4"/>
  </sheets>
  <definedNames>
    <definedName name="_xlnm.Print_Area" localSheetId="0">'L4101-01'!$B2:$AM40</definedName>
  </definedNames>
  <calcPr calcId="171027"/>
</workbook>
</file>

<file path=xl/sharedStrings.xml><?xml version="1.0" encoding="utf-8"?>
<sst xmlns="http://schemas.openxmlformats.org/spreadsheetml/2006/main" count="60" uniqueCount="60">
  <si>
    <r>
      <t>11</t>
    </r>
    <r>
      <rPr>
        <b/>
        <charset val="129"/>
        <family val="3"/>
        <sz val="18"/>
        <rFont val="돋움"/>
      </rPr>
      <t>월</t>
    </r>
    <r>
      <rPr>
        <b/>
        <family val="2"/>
        <sz val="18"/>
        <rFont val="Arial"/>
      </rPr>
      <t xml:space="preserve"> X - R </t>
    </r>
    <r>
      <rPr>
        <b/>
        <charset val="129"/>
        <family val="3"/>
        <sz val="18"/>
        <rFont val="돋움"/>
      </rPr>
      <t>관리도</t>
    </r>
  </si>
  <si>
    <t>※MS SPEC :</t>
  </si>
  <si>
    <t>장비명</t>
  </si>
  <si>
    <t>관리항목</t>
  </si>
  <si>
    <t>측정기</t>
  </si>
  <si>
    <t>규  격</t>
  </si>
  <si>
    <t>관리SPEC</t>
  </si>
  <si>
    <t>공정명</t>
  </si>
  <si>
    <t>n=(시료수)</t>
  </si>
  <si>
    <t>기간</t>
  </si>
  <si>
    <t>부 품 명</t>
  </si>
  <si>
    <t>측정자</t>
  </si>
  <si>
    <t xml:space="preserve"> X(=X평균)=</t>
  </si>
  <si>
    <r>
      <t>UCL(=X+A</t>
    </r>
    <r>
      <rPr>
        <charset val="129"/>
        <family val="3"/>
        <sz val="6"/>
        <rFont val="굴림체"/>
      </rPr>
      <t>2</t>
    </r>
    <r>
      <rPr>
        <charset val="129"/>
        <family val="3"/>
        <sz val="8"/>
        <rFont val="굴림체"/>
      </rPr>
      <t>R) =</t>
    </r>
  </si>
  <si>
    <r>
      <t>LCL(=X-A</t>
    </r>
    <r>
      <rPr>
        <charset val="129"/>
        <family val="3"/>
        <sz val="6"/>
        <rFont val="굴림체"/>
      </rPr>
      <t>2</t>
    </r>
    <r>
      <rPr>
        <charset val="129"/>
        <family val="3"/>
        <sz val="8"/>
        <rFont val="굴림체"/>
      </rPr>
      <t>R) =</t>
    </r>
  </si>
  <si>
    <t>X - BAR CHART</t>
  </si>
  <si>
    <t>평 가 방 법</t>
  </si>
  <si>
    <t>CPK값</t>
  </si>
  <si>
    <t>등급</t>
  </si>
  <si>
    <t>판 정</t>
  </si>
  <si>
    <t>1.67≤Cpk</t>
  </si>
  <si>
    <t xml:space="preserve">공정능력이
충분하다.</t>
  </si>
  <si>
    <t xml:space="preserve">1.33
＜Cpk
≤1.67</t>
  </si>
  <si>
    <t xml:space="preserve">공정능력은 있으나
관리에 주의 할
필요가 있다.</t>
  </si>
  <si>
    <t>Cpk≤1.00</t>
  </si>
  <si>
    <t xml:space="preserve">공정능력이 불
충분하다.</t>
  </si>
  <si>
    <t xml:space="preserve"> R(=R평균)=</t>
  </si>
  <si>
    <r>
      <t>UCL(=D</t>
    </r>
    <r>
      <rPr>
        <charset val="129"/>
        <family val="3"/>
        <sz val="6"/>
        <rFont val="굴림체"/>
      </rPr>
      <t>4</t>
    </r>
    <r>
      <rPr>
        <charset val="129"/>
        <family val="3"/>
        <sz val="8"/>
        <rFont val="굴림체"/>
      </rPr>
      <t>R) =</t>
    </r>
  </si>
  <si>
    <r>
      <t>LCL(=D</t>
    </r>
    <r>
      <rPr>
        <charset val="129"/>
        <family val="3"/>
        <sz val="6"/>
        <rFont val="굴림체"/>
      </rPr>
      <t>3</t>
    </r>
    <r>
      <rPr>
        <charset val="129"/>
        <family val="3"/>
        <sz val="8"/>
        <rFont val="굴림체"/>
      </rPr>
      <t>R) =</t>
    </r>
  </si>
  <si>
    <t>R CHART</t>
  </si>
  <si>
    <t>평가등급 : 2등급</t>
  </si>
  <si>
    <t xml:space="preserve"> 부분군의 크기</t>
  </si>
  <si>
    <t>크기</t>
  </si>
  <si>
    <r>
      <t>A</t>
    </r>
    <r>
      <rPr>
        <family val="2"/>
        <sz val="8"/>
        <rFont val="Arial"/>
      </rPr>
      <t>2</t>
    </r>
  </si>
  <si>
    <r>
      <t>D</t>
    </r>
    <r>
      <rPr>
        <family val="2"/>
        <sz val="8"/>
        <rFont val="Arial"/>
      </rPr>
      <t>3</t>
    </r>
  </si>
  <si>
    <r>
      <t>D</t>
    </r>
    <r>
      <rPr>
        <family val="2"/>
        <sz val="8"/>
        <rFont val="Arial"/>
      </rPr>
      <t>4</t>
    </r>
  </si>
  <si>
    <t>월 / 일</t>
  </si>
  <si>
    <r>
      <t>n</t>
    </r>
    <r>
      <rPr>
        <charset val="129"/>
        <family val="3"/>
        <sz val="12"/>
        <rFont val="굴림체"/>
      </rPr>
      <t>=</t>
    </r>
    <r>
      <rPr>
        <charset val="129"/>
        <family val="3"/>
        <sz val="12"/>
        <rFont val="굴림체"/>
      </rPr>
      <t>1</t>
    </r>
  </si>
  <si>
    <t>측</t>
  </si>
  <si>
    <r>
      <t>n</t>
    </r>
    <r>
      <rPr>
        <charset val="129"/>
        <family val="3"/>
        <sz val="12"/>
        <rFont val="굴림체"/>
      </rPr>
      <t>=</t>
    </r>
    <r>
      <rPr>
        <charset val="129"/>
        <family val="3"/>
        <sz val="12"/>
        <rFont val="굴림체"/>
      </rPr>
      <t>2</t>
    </r>
    <r>
      <rPr>
        <b/>
        <charset val="129"/>
        <family val="1"/>
        <sz val="12"/>
        <rFont val="바탕체"/>
      </rPr>
      <t/>
    </r>
  </si>
  <si>
    <t>정</t>
  </si>
  <si>
    <r>
      <t>n</t>
    </r>
    <r>
      <rPr>
        <charset val="129"/>
        <family val="3"/>
        <sz val="12"/>
        <rFont val="굴림체"/>
      </rPr>
      <t>=</t>
    </r>
    <r>
      <rPr>
        <charset val="129"/>
        <family val="3"/>
        <sz val="12"/>
        <rFont val="굴림체"/>
      </rPr>
      <t>3</t>
    </r>
    <r>
      <rPr>
        <b/>
        <charset val="129"/>
        <family val="1"/>
        <sz val="12"/>
        <rFont val="바탕체"/>
      </rPr>
      <t/>
    </r>
  </si>
  <si>
    <t>치</t>
  </si>
  <si>
    <r>
      <t>n</t>
    </r>
    <r>
      <rPr>
        <charset val="129"/>
        <family val="3"/>
        <sz val="12"/>
        <rFont val="굴림체"/>
      </rPr>
      <t>=</t>
    </r>
    <r>
      <rPr>
        <charset val="129"/>
        <family val="3"/>
        <sz val="12"/>
        <rFont val="굴림체"/>
      </rPr>
      <t>4</t>
    </r>
    <r>
      <rPr>
        <b/>
        <charset val="129"/>
        <family val="1"/>
        <sz val="12"/>
        <rFont val="바탕체"/>
      </rPr>
      <t/>
    </r>
  </si>
  <si>
    <r>
      <t xml:space="preserve">* </t>
    </r>
    <r>
      <rPr>
        <charset val="129"/>
        <family val="3"/>
        <sz val="8"/>
        <rFont val="돋움"/>
      </rPr>
      <t>표준편차</t>
    </r>
    <r>
      <rPr>
        <family val="2"/>
        <sz val="8"/>
        <rFont val="Arial"/>
      </rPr>
      <t>(R/d2)</t>
    </r>
  </si>
  <si>
    <r>
      <t>n</t>
    </r>
    <r>
      <rPr>
        <charset val="129"/>
        <family val="3"/>
        <sz val="12"/>
        <rFont val="굴림체"/>
      </rPr>
      <t>=</t>
    </r>
    <r>
      <rPr>
        <charset val="129"/>
        <family val="3"/>
        <sz val="12"/>
        <rFont val="굴림체"/>
      </rPr>
      <t>5</t>
    </r>
    <r>
      <rPr>
        <b/>
        <charset val="129"/>
        <family val="1"/>
        <sz val="12"/>
        <rFont val="바탕체"/>
      </rPr>
      <t/>
    </r>
  </si>
  <si>
    <r>
      <t>* Z</t>
    </r>
    <r>
      <rPr>
        <family val="2"/>
        <sz val="6"/>
        <rFont val="Arial"/>
      </rPr>
      <t>USL</t>
    </r>
  </si>
  <si>
    <r>
      <t>* Z</t>
    </r>
    <r>
      <rPr>
        <family val="2"/>
        <sz val="6"/>
        <rFont val="Arial"/>
      </rPr>
      <t>LSL</t>
    </r>
  </si>
  <si>
    <t>합   계</t>
  </si>
  <si>
    <r>
      <t>* Z</t>
    </r>
    <r>
      <rPr>
        <family val="2"/>
        <sz val="6"/>
        <rFont val="Arial"/>
      </rPr>
      <t>MIN</t>
    </r>
  </si>
  <si>
    <t xml:space="preserve"> 평   균(X)</t>
  </si>
  <si>
    <r>
      <t>*</t>
    </r>
    <r>
      <rPr>
        <b/>
        <charset val="129"/>
        <color theme="0"/>
        <family val="3"/>
        <sz val="8"/>
        <rFont val="돋움"/>
      </rPr>
      <t>공정능력지수</t>
    </r>
    <r>
      <rPr>
        <b/>
        <color theme="0"/>
        <family val="2"/>
        <sz val="8"/>
        <rFont val="Arial"/>
      </rPr>
      <t>(Cpk)=</t>
    </r>
  </si>
  <si>
    <r>
      <t>R</t>
    </r>
    <r>
      <rPr>
        <charset val="129"/>
        <family val="3"/>
        <sz val="8"/>
        <rFont val="굴림체"/>
      </rPr>
      <t>(=최고-최저)</t>
    </r>
  </si>
  <si>
    <r>
      <t>*</t>
    </r>
    <r>
      <rPr>
        <b/>
        <charset val="129"/>
        <color theme="0"/>
        <family val="3"/>
        <sz val="8"/>
        <rFont val="돋움"/>
      </rPr>
      <t>공정능력</t>
    </r>
    <r>
      <rPr>
        <b/>
        <color theme="0"/>
        <family val="2"/>
        <sz val="8"/>
        <rFont val="Arial"/>
      </rPr>
      <t xml:space="preserve"> (</t>
    </r>
    <r>
      <rPr>
        <b/>
        <charset val="129"/>
        <color theme="0"/>
        <family val="3"/>
        <sz val="8"/>
        <rFont val="돋움"/>
      </rPr>
      <t>Cp</t>
    </r>
    <r>
      <rPr>
        <b/>
        <color theme="0"/>
        <family val="2"/>
        <sz val="8"/>
        <rFont val="Arial"/>
      </rPr>
      <t>) =</t>
    </r>
  </si>
  <si>
    <t>UCL</t>
  </si>
  <si>
    <t>LCL</t>
  </si>
  <si>
    <t>X BAR 평균</t>
  </si>
  <si>
    <t>R ucl</t>
  </si>
  <si>
    <t>R bar</t>
  </si>
  <si>
    <t>R 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</si>
</sst>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 0 &quot;~&quot;"/>
    <numFmt numFmtId="165" formatCode="#,##0.0 0"/>
    <numFmt numFmtId="166" formatCode="#,##0.000"/>
    <numFmt numFmtId="167" formatCode="0.000"/>
    <numFmt numFmtId="168" formatCode="#,##0.0 0 &quot;~&quot;"/>
    <numFmt numFmtId="169" formatCode="0_);[Red](0)"/>
    <numFmt numFmtId="170" formatCode="0.00000000"/>
    <numFmt numFmtId="171" formatCode="#,##0.000_ "/>
    <numFmt numFmtId="172" formatCode="0.0000"/>
    <numFmt numFmtId="173" formatCode="#,##0.0"/>
  </numFmts>
  <fonts count="38" x14ac:knownFonts="1">
    <font>
      <color theme="1"/>
      <family val="2"/>
      <scheme val="minor"/>
      <sz val="11"/>
      <name val="Calibri"/>
    </font>
    <font>
      <charset val="129"/>
      <family val="1"/>
      <sz val="12"/>
      <name val="바탕체"/>
    </font>
    <font>
      <charset val="129"/>
      <family val="1"/>
      <sz val="10"/>
      <name val="바탕체"/>
    </font>
    <font>
      <b/>
      <family val="2"/>
      <sz val="18"/>
      <name val="Arial"/>
    </font>
    <font>
      <charset val="129"/>
      <color indexed="8"/>
      <family val="1"/>
      <sz val="12"/>
      <name val="바탕체"/>
    </font>
    <font>
      <b/>
      <charset val="129"/>
      <family val="1"/>
      <sz val="16"/>
      <name val="바탕체"/>
    </font>
    <font>
      <b/>
      <charset val="129"/>
      <family val="1"/>
      <sz val="9"/>
      <name val="바탕체"/>
    </font>
    <font>
      <charset val="129"/>
      <family val="3"/>
      <sz val="10"/>
      <name val="굴림체"/>
    </font>
    <font>
      <charset val="129"/>
      <color indexed="12"/>
      <family val="3"/>
      <sz val="9"/>
      <name val="굴림체"/>
    </font>
    <font>
      <charset val="129"/>
      <color indexed="12"/>
      <family val="3"/>
      <sz val="8"/>
      <name val="굴림체"/>
    </font>
    <font>
      <charset val="129"/>
      <color indexed="12"/>
      <family val="3"/>
      <sz val="10"/>
      <name val="굴림체"/>
    </font>
    <font>
      <charset val="129"/>
      <family val="3"/>
      <sz val="8"/>
      <name val="굴림체"/>
    </font>
    <font>
      <b/>
      <family val="2"/>
      <sz val="12"/>
      <name val="Arial"/>
    </font>
    <font>
      <u/>
      <charset val="129"/>
      <family val="3"/>
      <sz val="8"/>
      <name val="돋움체"/>
    </font>
    <font>
      <charset val="129"/>
      <family val="1"/>
      <sz val="8"/>
      <name val="바탕체"/>
    </font>
    <font>
      <charset val="129"/>
      <family val="3"/>
      <sz val="8"/>
      <name val="돋움체"/>
    </font>
    <font>
      <charset val="129"/>
      <family val="3"/>
      <sz val="7"/>
      <name val="돋움체"/>
    </font>
    <font>
      <b/>
      <charset val="129"/>
      <family val="3"/>
      <sz val="12"/>
      <name val="돋움체"/>
    </font>
    <font>
      <charset val="129"/>
      <family val="3"/>
      <sz val="8"/>
      <name val="돋움"/>
    </font>
    <font>
      <family val="2"/>
      <sz val="10"/>
      <name val="Arial"/>
    </font>
    <font>
      <family val="2"/>
      <sz val="8"/>
      <name val="Arial"/>
    </font>
    <font>
      <charset val="129"/>
      <color indexed="8"/>
      <family val="3"/>
      <sz val="9"/>
      <name val="굴림체"/>
    </font>
    <font>
      <charset val="129"/>
      <color indexed="8"/>
      <family val="1"/>
      <sz val="9"/>
      <name val="바탕체"/>
    </font>
    <font>
      <charset val="129"/>
      <family val="1"/>
      <sz val="6"/>
      <name val="바탕체"/>
    </font>
    <font>
      <charset val="129"/>
      <family val="3"/>
      <sz val="6"/>
      <name val="굴림체"/>
    </font>
    <font>
      <charset val="129"/>
      <family val="3"/>
      <sz val="12"/>
      <name val="굴림체"/>
    </font>
    <font>
      <b/>
      <charset val="129"/>
      <color indexed="8"/>
      <family val="1"/>
      <sz val="5"/>
      <name val="바탕체"/>
    </font>
    <font>
      <family val="2"/>
      <sz val="6"/>
      <name val="Arial"/>
    </font>
    <font>
      <charset val="129"/>
      <family val="1"/>
      <sz val="5"/>
      <name val="바탕체"/>
    </font>
    <font>
      <b/>
      <charset val="129"/>
      <family val="1"/>
      <sz val="6"/>
      <name val="바탕체"/>
    </font>
    <font>
      <family val="2"/>
      <sz val="12"/>
      <name val="Arial"/>
    </font>
    <font>
      <family val="2"/>
      <sz val="4"/>
      <name val="Arial"/>
    </font>
    <font>
      <b/>
      <charset val="129"/>
      <color theme="0"/>
      <family val="1"/>
      <sz val="6"/>
      <name val="바탕체"/>
    </font>
    <font>
      <b/>
      <color theme="0"/>
      <family val="2"/>
      <sz val="8"/>
      <name val="Arial"/>
    </font>
    <font>
      <b/>
      <color theme="0"/>
      <family val="2"/>
      <sz val="12"/>
      <name val="Arial"/>
    </font>
    <font>
      <b/>
      <color theme="0"/>
      <family val="2"/>
      <sz val="7"/>
      <name val="Arial"/>
    </font>
    <font>
      <b/>
      <color theme="0"/>
      <family val="2"/>
      <sz val="10"/>
      <name val="Arial"/>
    </font>
    <font>
      <b/>
      <charset val="129"/>
      <family val="1"/>
      <sz val="12"/>
      <name val="바탕체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-0.49998474074526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/>
      <right/>
      <top style="thin"/>
      <bottom style="hair"/>
      <diagonal/>
    </border>
    <border>
      <left/>
      <right/>
      <top style="thin"/>
      <bottom style="hair"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/>
      <bottom style="hair"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/>
      <bottom style="thin"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6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7" fillId="0" borderId="0" xfId="0" applyFont="1" applyAlignment="1">
      <alignment vertical="center"/>
    </xf>
    <xf numFmtId="0" fontId="7" fillId="2" borderId="6" xfId="0" applyFont="1" applyFill="1" applyBorder="1" applyAlignment="1">
      <alignment horizontal="centerContinuous" vertical="center"/>
    </xf>
    <xf numFmtId="0" fontId="7" fillId="2" borderId="7" xfId="0" applyFont="1" applyFill="1" applyBorder="1" applyAlignment="1">
      <alignment horizontal="centerContinuous" vertical="center"/>
    </xf>
    <xf numFmtId="0" fontId="8" fillId="0" borderId="8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7" xfId="0" applyFont="1" applyFill="1" applyBorder="1" applyAlignment="1">
      <alignment horizontal="center" vertical="center" shrinkToFit="1"/>
    </xf>
    <xf numFmtId="164" fontId="9" fillId="0" borderId="8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Continuous" vertical="center"/>
    </xf>
    <xf numFmtId="0" fontId="7" fillId="2" borderId="13" xfId="0" applyFont="1" applyFill="1" applyBorder="1" applyAlignment="1">
      <alignment horizontal="centerContinuous" vertical="center"/>
    </xf>
    <xf numFmtId="0" fontId="10" fillId="0" borderId="14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Continuous" vertical="center"/>
    </xf>
    <xf numFmtId="0" fontId="7" fillId="0" borderId="17" xfId="0" applyFont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7" fillId="2" borderId="18" xfId="0" applyFont="1" applyFill="1" applyBorder="1" applyAlignment="1">
      <alignment horizontal="centerContinuous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0" xfId="0" applyFont="1" applyAlignment="1">
      <alignment vertical="center"/>
    </xf>
    <xf numFmtId="0" fontId="1" fillId="0" borderId="19" xfId="0" applyFont="1" applyBorder="1" applyAlignment="1">
      <alignment vertical="center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vertical="center"/>
    </xf>
    <xf numFmtId="166" fontId="11" fillId="0" borderId="24" xfId="0" applyNumberFormat="1" applyFont="1" applyBorder="1" applyAlignment="1">
      <alignment horizontal="centerContinuous" vertical="center"/>
    </xf>
    <xf numFmtId="0" fontId="11" fillId="0" borderId="24" xfId="0" applyFont="1" applyBorder="1" applyAlignment="1">
      <alignment horizontal="centerContinuous" vertical="center"/>
    </xf>
    <xf numFmtId="0" fontId="11" fillId="0" borderId="24" xfId="0" applyFont="1" applyBorder="1" applyAlignment="1">
      <alignment horizontal="left" vertical="center"/>
    </xf>
    <xf numFmtId="167" fontId="11" fillId="0" borderId="24" xfId="0" applyNumberFormat="1" applyFont="1" applyBorder="1" applyAlignment="1">
      <alignment horizontal="centerContinuous" vertical="center"/>
    </xf>
    <xf numFmtId="0" fontId="11" fillId="0" borderId="2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4" fillId="0" borderId="26" xfId="0" applyFont="1" applyBorder="1"/>
    <xf numFmtId="0" fontId="14" fillId="0" borderId="0" xfId="0" applyFont="1" applyAlignment="1">
      <alignment horizontal="left"/>
    </xf>
    <xf numFmtId="0" fontId="15" fillId="3" borderId="27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168" fontId="10" fillId="0" borderId="0" xfId="0" applyNumberFormat="1" applyFont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1" fillId="0" borderId="29" xfId="0" applyFont="1" applyBorder="1"/>
    <xf numFmtId="0" fontId="1" fillId="0" borderId="26" xfId="0" applyFont="1" applyBorder="1"/>
    <xf numFmtId="0" fontId="18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shrinkToFit="1"/>
    </xf>
    <xf numFmtId="169" fontId="21" fillId="0" borderId="7" xfId="0" applyNumberFormat="1" applyFont="1" applyBorder="1" applyAlignment="1">
      <alignment vertical="center" shrinkToFit="1"/>
    </xf>
    <xf numFmtId="169" fontId="22" fillId="0" borderId="10" xfId="0" applyNumberFormat="1" applyFont="1" applyBorder="1" applyAlignment="1">
      <alignment vertical="center" shrinkToFit="1"/>
    </xf>
    <xf numFmtId="0" fontId="23" fillId="0" borderId="0" xfId="0" applyFont="1" applyAlignment="1">
      <alignment vertical="center"/>
    </xf>
    <xf numFmtId="0" fontId="24" fillId="0" borderId="34" xfId="0" applyFont="1" applyBorder="1" applyAlignment="1">
      <alignment vertical="center" shrinkToFit="1"/>
    </xf>
    <xf numFmtId="0" fontId="25" fillId="0" borderId="35" xfId="0" applyFont="1" applyBorder="1" applyAlignment="1">
      <alignment horizontal="center" vertical="center" shrinkToFit="1"/>
    </xf>
    <xf numFmtId="2" fontId="26" fillId="0" borderId="31" xfId="0" applyNumberFormat="1" applyFont="1" applyBorder="1" applyAlignment="1">
      <alignment vertical="center" shrinkToFit="1"/>
    </xf>
    <xf numFmtId="0" fontId="23" fillId="0" borderId="21" xfId="0" applyFont="1" applyBorder="1" applyAlignment="1">
      <alignment vertical="center"/>
    </xf>
    <xf numFmtId="0" fontId="7" fillId="0" borderId="34" xfId="0" applyFont="1" applyBorder="1" applyAlignment="1">
      <alignment horizontal="center" vertical="center" shrinkToFi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2" fontId="27" fillId="0" borderId="26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vertical="center" shrinkToFit="1"/>
    </xf>
    <xf numFmtId="0" fontId="20" fillId="0" borderId="0" xfId="0" applyFont="1" applyAlignment="1">
      <alignment horizontal="right" vertical="center"/>
    </xf>
    <xf numFmtId="170" fontId="27" fillId="0" borderId="26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37" xfId="0" applyFont="1" applyBorder="1" applyAlignment="1">
      <alignment horizontal="center" vertical="center" shrinkToFit="1"/>
    </xf>
    <xf numFmtId="2" fontId="28" fillId="0" borderId="13" xfId="0" applyNumberFormat="1" applyFont="1" applyBorder="1" applyAlignment="1">
      <alignment vertical="center" shrinkToFit="1"/>
    </xf>
    <xf numFmtId="0" fontId="23" fillId="0" borderId="29" xfId="0" applyFont="1" applyBorder="1" applyAlignment="1">
      <alignment vertical="center"/>
    </xf>
    <xf numFmtId="0" fontId="20" fillId="0" borderId="38" xfId="0" applyFont="1" applyBorder="1" applyAlignment="1">
      <alignment horizontal="left" vertical="center"/>
    </xf>
    <xf numFmtId="0" fontId="20" fillId="0" borderId="38" xfId="0" applyFont="1" applyBorder="1" applyAlignment="1">
      <alignment vertical="center"/>
    </xf>
    <xf numFmtId="0" fontId="19" fillId="0" borderId="38" xfId="0" applyFont="1" applyBorder="1" applyAlignment="1">
      <alignment vertical="center"/>
    </xf>
    <xf numFmtId="0" fontId="19" fillId="0" borderId="32" xfId="0" applyFont="1" applyBorder="1" applyAlignment="1">
      <alignment vertical="center"/>
    </xf>
    <xf numFmtId="0" fontId="25" fillId="0" borderId="3" xfId="0" applyFont="1" applyBorder="1" applyAlignment="1">
      <alignment vertical="center" shrinkToFit="1"/>
    </xf>
    <xf numFmtId="0" fontId="25" fillId="0" borderId="4" xfId="0" applyFont="1" applyBorder="1" applyAlignment="1">
      <alignment vertical="center" shrinkToFit="1"/>
    </xf>
    <xf numFmtId="2" fontId="23" fillId="0" borderId="13" xfId="0" applyNumberFormat="1" applyFont="1" applyBorder="1" applyAlignment="1">
      <alignment vertical="center" shrinkToFit="1"/>
    </xf>
    <xf numFmtId="0" fontId="29" fillId="0" borderId="4" xfId="0" applyFont="1" applyBorder="1" applyAlignment="1">
      <alignment vertical="center" shrinkToFit="1"/>
    </xf>
    <xf numFmtId="0" fontId="30" fillId="0" borderId="0" xfId="0" applyFont="1" applyAlignment="1">
      <alignment vertical="center"/>
    </xf>
    <xf numFmtId="0" fontId="30" fillId="0" borderId="26" xfId="0" applyFont="1" applyBorder="1" applyAlignment="1">
      <alignment vertical="center"/>
    </xf>
    <xf numFmtId="0" fontId="7" fillId="0" borderId="33" xfId="0" applyFont="1" applyBorder="1" applyAlignment="1">
      <alignment horizontal="center" vertical="center" shrinkToFit="1"/>
    </xf>
    <xf numFmtId="171" fontId="31" fillId="0" borderId="31" xfId="0" applyNumberFormat="1" applyFont="1" applyBorder="1" applyAlignment="1">
      <alignment vertical="center" shrinkToFit="1"/>
    </xf>
    <xf numFmtId="0" fontId="32" fillId="4" borderId="0" xfId="0" applyFont="1" applyFill="1" applyAlignment="1">
      <alignment vertical="center"/>
    </xf>
    <xf numFmtId="0" fontId="33" fillId="4" borderId="0" xfId="0" applyFont="1" applyFill="1" applyAlignment="1">
      <alignment horizontal="left" vertical="center"/>
    </xf>
    <xf numFmtId="0" fontId="34" fillId="4" borderId="0" xfId="0" applyFont="1" applyFill="1" applyAlignment="1">
      <alignment vertical="center"/>
    </xf>
    <xf numFmtId="172" fontId="35" fillId="4" borderId="0" xfId="0" applyNumberFormat="1" applyFont="1" applyFill="1" applyAlignment="1">
      <alignment vertical="center"/>
    </xf>
    <xf numFmtId="0" fontId="34" fillId="4" borderId="26" xfId="0" applyFont="1" applyFill="1" applyBorder="1" applyAlignment="1">
      <alignment vertical="center"/>
    </xf>
    <xf numFmtId="0" fontId="7" fillId="0" borderId="39" xfId="0" applyFont="1" applyBorder="1" applyAlignment="1">
      <alignment horizontal="center" vertical="center" shrinkToFit="1"/>
    </xf>
    <xf numFmtId="4" fontId="27" fillId="0" borderId="40" xfId="0" applyNumberFormat="1" applyFont="1" applyBorder="1" applyAlignment="1">
      <alignment vertical="center" shrinkToFit="1"/>
    </xf>
    <xf numFmtId="0" fontId="32" fillId="4" borderId="41" xfId="0" applyFont="1" applyFill="1" applyBorder="1" applyAlignment="1">
      <alignment vertical="center"/>
    </xf>
    <xf numFmtId="0" fontId="33" fillId="4" borderId="41" xfId="0" applyFont="1" applyFill="1" applyBorder="1" applyAlignment="1">
      <alignment horizontal="left" vertical="center"/>
    </xf>
    <xf numFmtId="0" fontId="34" fillId="4" borderId="41" xfId="0" applyFont="1" applyFill="1" applyBorder="1" applyAlignment="1">
      <alignment vertical="center"/>
    </xf>
    <xf numFmtId="0" fontId="36" fillId="4" borderId="41" xfId="0" applyFont="1" applyFill="1" applyBorder="1" applyAlignment="1">
      <alignment vertical="center"/>
    </xf>
    <xf numFmtId="0" fontId="34" fillId="4" borderId="4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14" fillId="0" borderId="0" xfId="0" applyFont="1" applyAlignment="1">
      <alignment shrinkToFit="1"/>
    </xf>
    <xf numFmtId="173" fontId="14" fillId="0" borderId="0" xfId="0" applyNumberFormat="1" applyFont="1" applyAlignment="1">
      <alignment shrinkToFit="1"/>
    </xf>
    <xf numFmtId="166" fontId="23" fillId="0" borderId="0" xfId="0" applyNumberFormat="1" applyFont="1" applyAlignment="1">
      <alignment shrinkToFit="1"/>
    </xf>
    <xf numFmtId="0" fontId="2" fillId="0" borderId="0" xfId="0" applyFont="1" applyAlignment="1">
      <alignment horizontal="center" vertical="center" shrinkToFit="1"/>
    </xf>
    <xf numFmtId="167" fontId="23" fillId="0" borderId="0" xfId="0" applyNumberFormat="1" applyFont="1" applyAlignment="1">
      <alignment shrinkToFit="1"/>
    </xf>
    <xf numFmtId="0" fontId="23" fillId="0" borderId="0" xfId="0" applyFont="1" applyAlignment="1">
      <alignment shrinkToFit="1"/>
    </xf>
    <xf numFmtId="0" fontId="1" fillId="0" borderId="0" xfId="0" applyFont="1" applyAlignment="1">
      <alignment shrinkToFit="1"/>
    </xf>
    <xf numFmtId="0" fontId="2" fillId="0" borderId="0" xfId="0" applyFont="1" applyAlignment="1">
      <alignment shrinkToFit="1"/>
    </xf>
    <xf numFmtId="166" fontId="14" fillId="0" borderId="0" xfId="0" applyNumberFormat="1" applyFont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47"/>
  <sheetViews>
    <sheetView workbookViewId="0" zoomScale="115" zoomScaleNormal="100" view="pageBreakPreview">
      <selection activeCell="L34" sqref="L34"/>
    </sheetView>
  </sheetViews>
  <sheetFormatPr defaultRowHeight="14.25" outlineLevelRow="0" outlineLevelCol="0" x14ac:dyDescent="0" defaultColWidth="9" customHeight="1"/>
  <cols>
    <col min="2" max="2" width="0.875" customWidth="1"/>
    <col min="3" max="3" width="3.375" customWidth="1"/>
    <col min="4" max="4" width="6.5" customWidth="1"/>
    <col min="5" max="34" width="3.125" customWidth="1"/>
    <col min="35" max="35" width="0.5" customWidth="1"/>
    <col min="36" max="36" width="7" customWidth="1"/>
    <col min="37" max="39" width="6.625" customWidth="1"/>
  </cols>
  <sheetData>
    <row r="1" ht="10.5" customHeight="1" spans="1:4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  <c r="AP1" s="2"/>
      <c r="AQ1" s="2"/>
    </row>
    <row r="2" ht="20.25" customHeight="1" spans="1:43" x14ac:dyDescent="0.25">
      <c r="A2" s="1"/>
      <c r="B2" s="1"/>
      <c r="C2" s="3" t="s">
        <v>0</v>
      </c>
      <c r="D2" s="4"/>
      <c r="E2" s="5"/>
      <c r="F2" s="5"/>
      <c r="G2" s="5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7" t="s">
        <v>1</v>
      </c>
      <c r="AK2" s="7"/>
      <c r="AL2" s="7"/>
      <c r="AM2" s="7"/>
      <c r="AN2" s="1"/>
      <c r="AO2" s="2"/>
      <c r="AP2" s="2"/>
      <c r="AQ2" s="2"/>
    </row>
    <row r="3" ht="1.5" customHeight="1" spans="1:43" x14ac:dyDescent="0.25">
      <c r="A3" s="1"/>
      <c r="B3" s="1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"/>
      <c r="AO3" s="2"/>
      <c r="AP3" s="2"/>
      <c r="AQ3" s="2"/>
    </row>
    <row r="4" ht="13.5" customHeight="1" spans="1:43" x14ac:dyDescent="0.25">
      <c r="A4" s="11"/>
      <c r="B4" s="11"/>
      <c r="C4" s="12" t="s">
        <v>2</v>
      </c>
      <c r="D4" s="13"/>
      <c r="E4" s="14"/>
      <c r="F4" s="14"/>
      <c r="G4" s="14"/>
      <c r="H4" s="14"/>
      <c r="I4" s="14"/>
      <c r="J4" s="15" t="s">
        <v>3</v>
      </c>
      <c r="K4" s="15"/>
      <c r="L4" s="15"/>
      <c r="M4" s="16"/>
      <c r="N4" s="16"/>
      <c r="O4" s="16"/>
      <c r="P4" s="16"/>
      <c r="Q4" s="16"/>
      <c r="R4" s="17" t="s">
        <v>4</v>
      </c>
      <c r="S4" s="17"/>
      <c r="T4" s="13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5" t="s">
        <v>5</v>
      </c>
      <c r="AJ4" s="18" t="s">
        <v>6</v>
      </c>
      <c r="AK4" s="19"/>
      <c r="AL4" s="20"/>
      <c r="AM4" s="21"/>
      <c r="AN4" s="11"/>
      <c r="AO4" s="22"/>
      <c r="AP4" s="22"/>
      <c r="AQ4" s="22"/>
    </row>
    <row r="5" ht="13.5" customHeight="1" spans="1:43" x14ac:dyDescent="0.25">
      <c r="A5" s="11"/>
      <c r="B5" s="11"/>
      <c r="C5" s="23" t="s">
        <v>7</v>
      </c>
      <c r="D5" s="24"/>
      <c r="E5" s="25"/>
      <c r="F5" s="25"/>
      <c r="G5" s="25"/>
      <c r="H5" s="25"/>
      <c r="I5" s="25"/>
      <c r="J5" s="26" t="s">
        <v>8</v>
      </c>
      <c r="K5" s="26"/>
      <c r="L5" s="26"/>
      <c r="M5" s="27"/>
      <c r="N5" s="27"/>
      <c r="O5" s="27"/>
      <c r="P5" s="27"/>
      <c r="Q5" s="27"/>
      <c r="R5" s="28" t="s">
        <v>9</v>
      </c>
      <c r="S5" s="28"/>
      <c r="T5" s="24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9"/>
      <c r="AI5" s="30" t="s">
        <v>10</v>
      </c>
      <c r="AJ5" s="31" t="s">
        <v>11</v>
      </c>
      <c r="AK5" s="32"/>
      <c r="AL5" s="32"/>
      <c r="AM5" s="33"/>
      <c r="AN5" s="11"/>
      <c r="AO5" s="22"/>
      <c r="AP5" s="22"/>
      <c r="AQ5" s="22"/>
    </row>
    <row r="6" ht="3" customHeight="1" spans="1:43" x14ac:dyDescent="0.25">
      <c r="A6" s="1"/>
      <c r="B6" s="1"/>
      <c r="C6" s="34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/>
      <c r="AJ6" s="1"/>
      <c r="AK6" s="1"/>
      <c r="AL6" s="1"/>
      <c r="AM6" s="37"/>
      <c r="AN6" s="1"/>
      <c r="AO6" s="2"/>
      <c r="AP6" s="2"/>
      <c r="AQ6" s="2"/>
    </row>
    <row r="7" ht="16.5" customHeight="1" spans="1:43" x14ac:dyDescent="0.25">
      <c r="A7" s="38"/>
      <c r="B7" s="38"/>
      <c r="C7" s="39"/>
      <c r="D7" s="40" t="s">
        <v>12</v>
      </c>
      <c r="E7" s="41"/>
      <c r="F7" s="42">
        <f>SUM(E39:AG39)/(COUNT(E39:AG39))</f>
        <v>4.07</v>
      </c>
      <c r="G7" s="43"/>
      <c r="H7" s="41"/>
      <c r="I7" s="41"/>
      <c r="J7" s="44" t="s">
        <v>13</v>
      </c>
      <c r="K7" s="41"/>
      <c r="L7" s="41"/>
      <c r="M7" s="42">
        <f>F7+SUM(E40:AG40)/(COUNT(E40:AG40))*IF(COUNT(E32:E36)=5,AK29,IF(COUNT(E32:E36)=4,AK28,IF(COUNT(E32:E36)=3,AK27,IF(COUNT(E32:E36)=2,AK26,IF(COUNT(E32:E36)=1,AK25,0)))))</f>
        <v>4.0932</v>
      </c>
      <c r="N7" s="43"/>
      <c r="O7" s="41"/>
      <c r="P7" s="44" t="s">
        <v>14</v>
      </c>
      <c r="Q7" s="41"/>
      <c r="R7" s="41"/>
      <c r="S7" s="45">
        <f>F7-SUM(E40:AG40)/(COUNT(E40:AG40))*IF(COUNT(E32:E36)=5,AK29,IF(COUNT(E32:E36)=4,AK28,IF(COUNT(E32:E36)=3,AK27,IF(COUNT(E32:E36)=2,AK26,IF(COUNT(E32:E36)=1,AK25,0)))))</f>
        <v>4.0468</v>
      </c>
      <c r="T7" s="43"/>
      <c r="U7" s="46"/>
      <c r="V7" s="38"/>
      <c r="W7" s="38"/>
      <c r="X7" s="38"/>
      <c r="Y7" s="47" t="s">
        <v>15</v>
      </c>
      <c r="Z7" s="38"/>
      <c r="AA7" s="38"/>
      <c r="AB7" s="38"/>
      <c r="AC7" s="38"/>
      <c r="AD7" s="38"/>
      <c r="AE7" s="38"/>
      <c r="AF7" s="38"/>
      <c r="AG7" s="38"/>
      <c r="AH7" s="38"/>
      <c r="AI7" s="48"/>
      <c r="AJ7" s="38"/>
      <c r="AK7" s="38"/>
      <c r="AL7" s="38"/>
      <c r="AM7" s="49"/>
      <c r="AN7" s="38"/>
      <c r="AO7" s="2"/>
      <c r="AP7" s="2"/>
      <c r="AQ7" s="2"/>
    </row>
    <row r="8" ht="13.5" customHeight="1" spans="1:43" x14ac:dyDescent="0.25">
      <c r="A8" s="1"/>
      <c r="B8" s="1"/>
      <c r="C8" s="3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36"/>
      <c r="AJ8" s="50"/>
      <c r="AK8" s="51"/>
      <c r="AL8" s="51"/>
      <c r="AM8" s="52"/>
      <c r="AN8" s="1"/>
      <c r="AO8" s="2"/>
      <c r="AP8" s="2"/>
      <c r="AQ8" s="2"/>
    </row>
    <row r="9" ht="13.5" customHeight="1" spans="1:43" x14ac:dyDescent="0.25">
      <c r="A9" s="1"/>
      <c r="B9" s="1"/>
      <c r="C9" s="3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6"/>
      <c r="AJ9" s="53"/>
      <c r="AK9" s="51"/>
      <c r="AL9" s="51"/>
      <c r="AM9" s="52"/>
      <c r="AN9" s="1"/>
      <c r="AO9" s="2"/>
      <c r="AP9" s="2"/>
      <c r="AQ9" s="2"/>
    </row>
    <row r="10" ht="13.5" customHeight="1" spans="1:43" x14ac:dyDescent="0.25">
      <c r="A10" s="1"/>
      <c r="B10" s="1"/>
      <c r="C10" s="3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6"/>
      <c r="AJ10" s="51"/>
      <c r="AK10" s="51"/>
      <c r="AL10" s="51"/>
      <c r="AM10" s="52"/>
      <c r="AN10" s="1"/>
      <c r="AO10" s="2"/>
      <c r="AP10" s="2"/>
      <c r="AQ10" s="2"/>
    </row>
    <row r="11" ht="13.5" customHeight="1" spans="1:43" x14ac:dyDescent="0.25">
      <c r="A11" s="1"/>
      <c r="B11" s="1"/>
      <c r="C11" s="3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36"/>
      <c r="AJ11" s="54" t="s">
        <v>16</v>
      </c>
      <c r="AK11" s="54"/>
      <c r="AL11" s="54"/>
      <c r="AM11" s="54"/>
      <c r="AN11" s="1"/>
      <c r="AO11" s="2"/>
      <c r="AP11" s="2"/>
      <c r="AQ11" s="2"/>
    </row>
    <row r="12" ht="13.5" customHeight="1" spans="1:43" x14ac:dyDescent="0.25">
      <c r="A12" s="1"/>
      <c r="B12" s="1"/>
      <c r="C12" s="3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6"/>
      <c r="AJ12" s="55" t="s">
        <v>17</v>
      </c>
      <c r="AK12" s="55" t="s">
        <v>18</v>
      </c>
      <c r="AL12" s="55" t="s">
        <v>19</v>
      </c>
      <c r="AM12" s="55"/>
      <c r="AN12" s="1"/>
      <c r="AO12" s="2"/>
      <c r="AP12" s="2"/>
      <c r="AQ12" s="2"/>
    </row>
    <row r="13" ht="13.5" customHeight="1" spans="1:43" x14ac:dyDescent="0.25">
      <c r="A13" s="1"/>
      <c r="B13" s="1"/>
      <c r="C13" s="3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36"/>
      <c r="AJ13" s="56" t="s">
        <v>20</v>
      </c>
      <c r="AK13" s="57">
        <v>1</v>
      </c>
      <c r="AL13" s="58" t="s">
        <v>21</v>
      </c>
      <c r="AM13" s="58"/>
      <c r="AN13" s="1"/>
      <c r="AO13" s="2"/>
      <c r="AP13" s="2"/>
      <c r="AQ13" s="2"/>
    </row>
    <row r="14" ht="13.5" customHeight="1" spans="1:43" x14ac:dyDescent="0.25">
      <c r="A14" s="1"/>
      <c r="B14" s="1"/>
      <c r="C14" s="3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36"/>
      <c r="AJ14" s="56"/>
      <c r="AK14" s="57"/>
      <c r="AL14" s="58"/>
      <c r="AM14" s="58"/>
      <c r="AN14" s="1"/>
      <c r="AO14" s="2"/>
      <c r="AP14" s="2"/>
      <c r="AQ14" s="2"/>
    </row>
    <row r="15" ht="13.5" customHeight="1" spans="1:43" x14ac:dyDescent="0.25">
      <c r="A15" s="1"/>
      <c r="B15" s="1"/>
      <c r="C15" s="3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6"/>
      <c r="AJ15" s="59" t="s">
        <v>22</v>
      </c>
      <c r="AK15" s="57">
        <v>2</v>
      </c>
      <c r="AL15" s="58" t="s">
        <v>23</v>
      </c>
      <c r="AM15" s="58"/>
      <c r="AN15" s="1"/>
      <c r="AO15" s="2"/>
      <c r="AP15" s="2"/>
      <c r="AQ15" s="2"/>
    </row>
    <row r="16" ht="13.5" customHeight="1" spans="1:43" x14ac:dyDescent="0.25">
      <c r="A16" s="1"/>
      <c r="B16" s="1"/>
      <c r="C16" s="3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36"/>
      <c r="AJ16" s="59"/>
      <c r="AK16" s="57"/>
      <c r="AL16" s="58"/>
      <c r="AM16" s="58"/>
      <c r="AN16" s="1"/>
      <c r="AO16" s="2"/>
      <c r="AP16" s="2"/>
      <c r="AQ16" s="2"/>
    </row>
    <row r="17" ht="13.5" customHeight="1" spans="1:43" x14ac:dyDescent="0.25">
      <c r="A17" s="1"/>
      <c r="B17" s="1"/>
      <c r="C17" s="3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36"/>
      <c r="AJ17" s="59"/>
      <c r="AK17" s="57"/>
      <c r="AL17" s="58"/>
      <c r="AM17" s="58"/>
      <c r="AN17" s="1"/>
      <c r="AO17" s="2"/>
      <c r="AP17" s="2"/>
      <c r="AQ17" s="2"/>
    </row>
    <row r="18" ht="13.5" customHeight="1" spans="1:43" x14ac:dyDescent="0.25">
      <c r="A18" s="1"/>
      <c r="B18" s="1"/>
      <c r="C18" s="3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36"/>
      <c r="AJ18" s="56" t="s">
        <v>24</v>
      </c>
      <c r="AK18" s="57">
        <v>3</v>
      </c>
      <c r="AL18" s="58" t="s">
        <v>25</v>
      </c>
      <c r="AM18" s="58"/>
      <c r="AN18" s="1"/>
      <c r="AO18" s="2"/>
      <c r="AP18" s="2"/>
      <c r="AQ18" s="2"/>
    </row>
    <row r="19" ht="13.5" customHeight="1" spans="1:43" x14ac:dyDescent="0.25">
      <c r="A19" s="1"/>
      <c r="B19" s="1"/>
      <c r="C19" s="3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36"/>
      <c r="AJ19" s="56"/>
      <c r="AK19" s="57"/>
      <c r="AL19" s="58"/>
      <c r="AM19" s="58"/>
      <c r="AN19" s="1"/>
      <c r="AO19" s="2"/>
      <c r="AP19" s="2"/>
      <c r="AQ19" s="2"/>
    </row>
    <row r="20" ht="13.5" customHeight="1" spans="1:43" x14ac:dyDescent="0.25">
      <c r="A20" s="1"/>
      <c r="B20" s="1"/>
      <c r="C20" s="3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36"/>
      <c r="AJ20" s="53"/>
      <c r="AK20" s="51"/>
      <c r="AL20" s="51"/>
      <c r="AM20" s="52"/>
      <c r="AN20" s="1"/>
      <c r="AO20" s="60"/>
      <c r="AP20" s="2"/>
      <c r="AQ20" s="2"/>
    </row>
    <row r="21" ht="13.5" customHeight="1" spans="1:43" x14ac:dyDescent="0.25">
      <c r="A21" s="1"/>
      <c r="B21" s="1"/>
      <c r="C21" s="34"/>
      <c r="D21" s="61" t="s">
        <v>26</v>
      </c>
      <c r="E21" s="41"/>
      <c r="F21" s="45">
        <f>SUM(E40:AG40)/(COUNT(E40:AG40))</f>
        <v>0.040000000000000036</v>
      </c>
      <c r="G21" s="43"/>
      <c r="H21" s="41"/>
      <c r="I21" s="41"/>
      <c r="J21" s="44" t="s">
        <v>27</v>
      </c>
      <c r="K21" s="41"/>
      <c r="L21" s="41"/>
      <c r="M21" s="45">
        <f>F21*IF(COUNT(E32:E36)=5,AM29,IF(COUNT(E32:E36)=4,AM28,IF(COUNT(E32:E36)=3,AM27,IF(COUNT(E32:E36)=2,AM26,IF(COUNT(E32:E36)=1,AM25,0)))))</f>
        <v>0.08440000000000007</v>
      </c>
      <c r="N21" s="43"/>
      <c r="O21" s="41"/>
      <c r="P21" s="44" t="s">
        <v>28</v>
      </c>
      <c r="Q21" s="41"/>
      <c r="R21" s="41"/>
      <c r="S21" s="41">
        <f>F21*0</f>
      </c>
      <c r="T21" s="41"/>
      <c r="U21" s="46"/>
      <c r="V21" s="38"/>
      <c r="W21" s="38"/>
      <c r="X21" s="38"/>
      <c r="Y21" s="62" t="s">
        <v>29</v>
      </c>
      <c r="Z21" s="38"/>
      <c r="AA21" s="38"/>
      <c r="AB21" s="38"/>
      <c r="AC21" s="38"/>
      <c r="AD21" s="38"/>
      <c r="AE21" s="1"/>
      <c r="AF21" s="1"/>
      <c r="AG21" s="1"/>
      <c r="AH21" s="1"/>
      <c r="AI21" s="36"/>
      <c r="AJ21" s="63" t="s">
        <v>30</v>
      </c>
      <c r="AK21" s="63"/>
      <c r="AL21" s="63"/>
      <c r="AM21" s="63"/>
      <c r="AN21" s="1"/>
      <c r="AO21" s="2"/>
      <c r="AP21" s="2"/>
      <c r="AQ21" s="2"/>
    </row>
    <row r="22" ht="13.5" customHeight="1" spans="1:43" x14ac:dyDescent="0.25">
      <c r="A22" s="1"/>
      <c r="B22" s="1"/>
      <c r="C22" s="3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64"/>
      <c r="AJ22" s="63"/>
      <c r="AK22" s="63"/>
      <c r="AL22" s="63"/>
      <c r="AM22" s="63"/>
      <c r="AN22" s="1"/>
      <c r="AO22" s="2"/>
      <c r="AP22" s="2"/>
      <c r="AQ22" s="2"/>
    </row>
    <row r="23" ht="13.5" customHeight="1" spans="1:43" x14ac:dyDescent="0.25">
      <c r="A23" s="1"/>
      <c r="B23" s="1"/>
      <c r="C23" s="3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36"/>
      <c r="AJ23" s="50" t="s">
        <v>31</v>
      </c>
      <c r="AK23" s="51"/>
      <c r="AL23" s="51"/>
      <c r="AM23" s="52"/>
      <c r="AN23" s="1"/>
      <c r="AO23" s="2"/>
      <c r="AP23" s="2"/>
      <c r="AQ23" s="2"/>
    </row>
    <row r="24" ht="13.5" customHeight="1" spans="1:43" x14ac:dyDescent="0.25">
      <c r="A24" s="1"/>
      <c r="B24" s="1"/>
      <c r="C24" s="3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36"/>
      <c r="AJ24" s="1"/>
      <c r="AK24" s="1"/>
      <c r="AL24" s="1"/>
      <c r="AM24" s="65"/>
      <c r="AN24" s="1"/>
      <c r="AO24" s="2"/>
      <c r="AP24" s="2"/>
      <c r="AQ24" s="2"/>
    </row>
    <row r="25" ht="13.5" customHeight="1" spans="1:43" x14ac:dyDescent="0.25">
      <c r="A25" s="1"/>
      <c r="B25" s="1"/>
      <c r="C25" s="3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36"/>
      <c r="AJ25" s="66" t="s">
        <v>32</v>
      </c>
      <c r="AK25" s="67" t="s">
        <v>33</v>
      </c>
      <c r="AL25" s="67" t="s">
        <v>34</v>
      </c>
      <c r="AM25" s="68" t="s">
        <v>35</v>
      </c>
      <c r="AN25" s="1"/>
      <c r="AO25" s="2"/>
      <c r="AP25" s="2"/>
      <c r="AQ25" s="2"/>
    </row>
    <row r="26" ht="13.5" customHeight="1" spans="1:43" x14ac:dyDescent="0.25">
      <c r="A26" s="1"/>
      <c r="B26" s="1"/>
      <c r="C26" s="3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36"/>
      <c r="AJ26" s="69">
        <v>2</v>
      </c>
      <c r="AK26" s="69">
        <v>1.88</v>
      </c>
      <c r="AL26" s="69"/>
      <c r="AM26" s="70">
        <v>3.27</v>
      </c>
      <c r="AN26" s="1"/>
      <c r="AO26" s="2"/>
      <c r="AP26" s="2"/>
      <c r="AQ26" s="2"/>
    </row>
    <row r="27" ht="13.5" customHeight="1" spans="1:43" x14ac:dyDescent="0.25">
      <c r="A27" s="1"/>
      <c r="B27" s="1"/>
      <c r="C27" s="3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36"/>
      <c r="AJ27" s="69">
        <v>3</v>
      </c>
      <c r="AK27" s="69">
        <v>1.02</v>
      </c>
      <c r="AL27" s="69"/>
      <c r="AM27" s="70">
        <v>2.57</v>
      </c>
      <c r="AN27" s="1"/>
      <c r="AO27" s="2"/>
      <c r="AP27" s="2"/>
      <c r="AQ27" s="2"/>
    </row>
    <row r="28" ht="13.5" customHeight="1" spans="1:43" x14ac:dyDescent="0.25">
      <c r="A28" s="1"/>
      <c r="B28" s="1"/>
      <c r="C28" s="3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36"/>
      <c r="AJ28" s="69">
        <v>4</v>
      </c>
      <c r="AK28" s="69">
        <v>0.73</v>
      </c>
      <c r="AL28" s="69"/>
      <c r="AM28" s="70">
        <v>2.28</v>
      </c>
      <c r="AN28" s="1"/>
      <c r="AO28" s="2"/>
      <c r="AP28" s="2"/>
      <c r="AQ28" s="2"/>
    </row>
    <row r="29" ht="13.5" customHeight="1" spans="1:43" x14ac:dyDescent="0.25">
      <c r="A29" s="1"/>
      <c r="B29" s="1"/>
      <c r="C29" s="3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36"/>
      <c r="AJ29" s="69">
        <v>5</v>
      </c>
      <c r="AK29" s="69">
        <v>0.58</v>
      </c>
      <c r="AL29" s="69"/>
      <c r="AM29" s="70">
        <v>2.11</v>
      </c>
      <c r="AN29" s="1"/>
      <c r="AO29" s="2"/>
      <c r="AP29" s="2"/>
      <c r="AQ29" s="2"/>
    </row>
    <row r="30" ht="13.5" customHeight="1" spans="1:43" x14ac:dyDescent="0.25">
      <c r="A30" s="1"/>
      <c r="B30" s="1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36"/>
      <c r="AJ30" s="69">
        <v>6</v>
      </c>
      <c r="AK30" s="69">
        <v>0.48</v>
      </c>
      <c r="AL30" s="69"/>
      <c r="AM30" s="70">
        <v>2</v>
      </c>
      <c r="AN30" s="1"/>
      <c r="AO30" s="2"/>
      <c r="AP30" s="2"/>
      <c r="AQ30" s="2"/>
    </row>
    <row r="31" ht="17.25" customHeight="1" spans="1:43" x14ac:dyDescent="0.25">
      <c r="A31" s="38"/>
      <c r="B31" s="38"/>
      <c r="C31" s="71" t="s">
        <v>36</v>
      </c>
      <c r="D31" s="71"/>
      <c r="E31" s="72">
        <v>5</v>
      </c>
      <c r="F31" s="72">
        <v>10</v>
      </c>
      <c r="G31" s="72">
        <v>12</v>
      </c>
      <c r="H31" s="72">
        <v>14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3"/>
      <c r="AI31" s="48"/>
      <c r="AJ31" s="69">
        <v>7</v>
      </c>
      <c r="AK31" s="69">
        <v>0.42</v>
      </c>
      <c r="AL31" s="69">
        <v>0.08</v>
      </c>
      <c r="AM31" s="70">
        <v>1.92</v>
      </c>
      <c r="AN31" s="38"/>
      <c r="AO31" s="2"/>
      <c r="AP31" s="2"/>
      <c r="AQ31" s="2"/>
    </row>
    <row r="32" ht="15" customHeight="1" spans="1:43" x14ac:dyDescent="0.25">
      <c r="A32" s="74"/>
      <c r="B32" s="74"/>
      <c r="C32" s="75"/>
      <c r="D32" s="76" t="s">
        <v>37</v>
      </c>
      <c r="E32" s="77">
        <v>4.09</v>
      </c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8"/>
      <c r="AJ32" s="69">
        <v>8</v>
      </c>
      <c r="AK32" s="69">
        <v>0.37</v>
      </c>
      <c r="AL32" s="69">
        <v>0.14</v>
      </c>
      <c r="AM32" s="70">
        <v>1.86</v>
      </c>
      <c r="AN32" s="74"/>
      <c r="AO32" s="2"/>
      <c r="AP32" s="2"/>
      <c r="AQ32" s="2"/>
    </row>
    <row r="33" ht="15" customHeight="1" spans="1:43" x14ac:dyDescent="0.25">
      <c r="A33" s="74"/>
      <c r="B33" s="74"/>
      <c r="C33" s="79" t="s">
        <v>38</v>
      </c>
      <c r="D33" s="76" t="s">
        <v>39</v>
      </c>
      <c r="E33" s="77">
        <v>4.08</v>
      </c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8"/>
      <c r="AJ33" s="69">
        <v>9</v>
      </c>
      <c r="AK33" s="69">
        <v>0.34</v>
      </c>
      <c r="AL33" s="69">
        <v>0.18</v>
      </c>
      <c r="AM33" s="70">
        <v>1.82</v>
      </c>
      <c r="AN33" s="74"/>
      <c r="AO33" s="2"/>
      <c r="AP33" s="2"/>
      <c r="AQ33" s="2"/>
    </row>
    <row r="34" ht="15" customHeight="1" spans="1:43" x14ac:dyDescent="0.25">
      <c r="A34" s="74"/>
      <c r="B34" s="74"/>
      <c r="C34" s="79" t="s">
        <v>40</v>
      </c>
      <c r="D34" s="76" t="s">
        <v>41</v>
      </c>
      <c r="E34" s="77">
        <v>4.07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8"/>
      <c r="AJ34" s="69">
        <v>10</v>
      </c>
      <c r="AK34" s="69">
        <v>0.31</v>
      </c>
      <c r="AL34" s="69">
        <v>0.22</v>
      </c>
      <c r="AM34" s="70">
        <v>1.78</v>
      </c>
      <c r="AN34" s="74"/>
      <c r="AO34" s="2"/>
      <c r="AP34" s="2"/>
      <c r="AQ34" s="2"/>
    </row>
    <row r="35" ht="15" customHeight="1" spans="1:43" x14ac:dyDescent="0.25">
      <c r="A35" s="74"/>
      <c r="B35" s="74"/>
      <c r="C35" s="79" t="s">
        <v>42</v>
      </c>
      <c r="D35" s="76" t="s">
        <v>43</v>
      </c>
      <c r="E35" s="77">
        <v>4.06</v>
      </c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8"/>
      <c r="AJ35" s="80" t="s">
        <v>44</v>
      </c>
      <c r="AK35" s="81"/>
      <c r="AL35" s="82">
        <f>F21/IF(COUNT(E32:E36)=5,2.33,IF(COUNT(E32:E36)=4,2.06,IF(COUNT(E32:E36)=3,1.69,IF(COUNT(E32:E36)=2,1.13,IF(COUNT(E32:E36)=1,"","")))))</f>
        <v>0.01716738197424894</v>
      </c>
      <c r="AM35" s="83"/>
      <c r="AN35" s="74"/>
      <c r="AO35" s="2"/>
      <c r="AP35" s="2"/>
      <c r="AQ35" s="2"/>
    </row>
    <row r="36" ht="15" customHeight="1" spans="1:43" x14ac:dyDescent="0.25">
      <c r="A36" s="74"/>
      <c r="B36" s="74"/>
      <c r="C36" s="84"/>
      <c r="D36" s="76" t="s">
        <v>45</v>
      </c>
      <c r="E36" s="77">
        <v>4.05</v>
      </c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8"/>
      <c r="AJ36" s="80" t="s">
        <v>46</v>
      </c>
      <c r="AK36" s="82">
        <f>(AL4-F7)/AL35</f>
        <v>-149.7024999999999</v>
      </c>
      <c r="AL36" s="85" t="s">
        <v>47</v>
      </c>
      <c r="AM36" s="86">
        <f>(F7-AK4)/AL35</f>
        <v>207.95249999999984</v>
      </c>
      <c r="AN36" s="74"/>
      <c r="AO36" s="2"/>
      <c r="AP36" s="2"/>
      <c r="AQ36" s="2"/>
    </row>
    <row r="37" ht="15" customHeight="1" spans="1:43" x14ac:dyDescent="0.25">
      <c r="A37" s="87"/>
      <c r="B37" s="87"/>
      <c r="C37" s="88" t="s">
        <v>48</v>
      </c>
      <c r="D37" s="88"/>
      <c r="E37" s="89">
        <f t="shared" ref="E37:U37" si="0">SUM(E32:E36)</f>
        <v>20.35</v>
      </c>
      <c r="F37" s="89">
        <f>E37</f>
      </c>
      <c r="G37" s="89">
        <f>E37</f>
      </c>
      <c r="H37" s="89">
        <f>E37</f>
      </c>
      <c r="I37" s="89">
        <f>E37</f>
      </c>
      <c r="J37" s="89">
        <f>E37</f>
      </c>
      <c r="K37" s="89">
        <f>E37</f>
      </c>
      <c r="L37" s="89">
        <f>E37</f>
      </c>
      <c r="M37" s="89">
        <f>E37</f>
      </c>
      <c r="N37" s="89">
        <f>E37</f>
      </c>
      <c r="O37" s="89">
        <f>E37</f>
      </c>
      <c r="P37" s="89">
        <f>E37</f>
      </c>
      <c r="Q37" s="89">
        <f>E37</f>
      </c>
      <c r="R37" s="89">
        <f>E37</f>
      </c>
      <c r="S37" s="89">
        <f>E37</f>
      </c>
      <c r="T37" s="89">
        <f>E37</f>
      </c>
      <c r="U37" s="89">
        <f>E37</f>
      </c>
      <c r="V37" s="89">
        <f>SUM(V32:V36)</f>
      </c>
      <c r="W37" s="89">
        <f>SUM(W32:W36)</f>
      </c>
      <c r="X37" s="89">
        <f>SUM(X32:X36)</f>
      </c>
      <c r="Y37" s="89">
        <f>SUM(Y32:Y36)</f>
      </c>
      <c r="Z37" s="89">
        <f>SUM(Z32:Z36)</f>
      </c>
      <c r="AA37" s="89"/>
      <c r="AB37" s="89"/>
      <c r="AC37" s="89"/>
      <c r="AD37" s="89"/>
      <c r="AE37" s="89"/>
      <c r="AF37" s="89"/>
      <c r="AG37" s="89"/>
      <c r="AH37" s="89"/>
      <c r="AI37" s="90"/>
      <c r="AJ37" s="91" t="s">
        <v>49</v>
      </c>
      <c r="AK37" s="92">
        <f>IF(AK4="",AK36,IF(AK36&gt;AM36,AM36,AK36))</f>
        <v>-149.7024999999999</v>
      </c>
      <c r="AL37" s="93"/>
      <c r="AM37" s="94"/>
      <c r="AN37" s="87"/>
      <c r="AO37" s="2"/>
      <c r="AP37" s="2"/>
      <c r="AQ37" s="2"/>
    </row>
    <row r="38" ht="3" customHeight="1" hidden="1" spans="1:43" x14ac:dyDescent="0.25">
      <c r="A38" s="38"/>
      <c r="B38" s="38"/>
      <c r="C38" s="95"/>
      <c r="D38" s="96"/>
      <c r="E38" s="97">
        <v>1.02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74"/>
      <c r="AJ38" s="80"/>
      <c r="AK38" s="99"/>
      <c r="AL38" s="99"/>
      <c r="AM38" s="100"/>
      <c r="AN38" s="38"/>
      <c r="AO38" s="2"/>
      <c r="AP38" s="2"/>
      <c r="AQ38" s="2"/>
    </row>
    <row r="39" ht="15" customHeight="1" spans="1:43" x14ac:dyDescent="0.25">
      <c r="A39" s="38"/>
      <c r="B39" s="38"/>
      <c r="C39" s="101" t="s">
        <v>50</v>
      </c>
      <c r="D39" s="101"/>
      <c r="E39" s="102">
        <f t="shared" ref="E39:AH39" si="1">IF(COUNT(E32:E36)=0,"",E37/COUNT(E32:E36))</f>
        <v>4.07</v>
      </c>
      <c r="F39" s="102">
        <f>E39</f>
      </c>
      <c r="G39" s="102">
        <f>E39</f>
      </c>
      <c r="H39" s="102">
        <f>E39</f>
      </c>
      <c r="I39" s="102">
        <f>E39</f>
      </c>
      <c r="J39" s="102">
        <f>E39</f>
      </c>
      <c r="K39" s="102">
        <f>E39</f>
      </c>
      <c r="L39" s="102">
        <f>E39</f>
      </c>
      <c r="M39" s="102">
        <f>E39</f>
      </c>
      <c r="N39" s="102">
        <f>E39</f>
      </c>
      <c r="O39" s="102">
        <f>E39</f>
      </c>
      <c r="P39" s="102">
        <f>E39</f>
      </c>
      <c r="Q39" s="102">
        <f>E39</f>
      </c>
      <c r="R39" s="102">
        <f>E39</f>
      </c>
      <c r="S39" s="102">
        <f>E39</f>
      </c>
      <c r="T39" s="102">
        <f>E39</f>
      </c>
      <c r="U39" s="102">
        <f>E39</f>
      </c>
      <c r="V39" s="102">
        <f>IF(COUNT(V32:V36)=0,"",V37/COUNT(V32:V36))</f>
      </c>
      <c r="W39" s="102">
        <f>IF(COUNT(W32:W36)=0,"",W37/COUNT(W32:W36))</f>
      </c>
      <c r="X39" s="102">
        <f>IF(COUNT(X32:X36)=0,"",X37/COUNT(X32:X36))</f>
      </c>
      <c r="Y39" s="102">
        <f>IF(COUNT(Y32:Y36)=0,"",Y37/COUNT(Y32:Y36))</f>
      </c>
      <c r="Z39" s="102">
        <f>IF(COUNT(Z32:Z36)=0,"",Z37/COUNT(Z32:Z36))</f>
      </c>
      <c r="AA39" s="102">
        <f>E39</f>
      </c>
      <c r="AB39" s="102">
        <f>E39</f>
      </c>
      <c r="AC39" s="102">
        <f>E39</f>
      </c>
      <c r="AD39" s="102">
        <f>E39</f>
      </c>
      <c r="AE39" s="102">
        <f>E39</f>
      </c>
      <c r="AF39" s="102">
        <f>E39</f>
      </c>
      <c r="AG39" s="102">
        <f>E39</f>
      </c>
      <c r="AH39" s="102">
        <f>E39</f>
      </c>
      <c r="AI39" s="103"/>
      <c r="AJ39" s="104" t="s">
        <v>51</v>
      </c>
      <c r="AK39" s="105"/>
      <c r="AL39" s="106">
        <f>AK37/3</f>
        <v>-49.9008333333333</v>
      </c>
      <c r="AM39" s="107"/>
      <c r="AN39" s="38"/>
      <c r="AO39" s="2"/>
      <c r="AP39" s="2"/>
      <c r="AQ39" s="2"/>
    </row>
    <row r="40" ht="15" customHeight="1" spans="1:43" x14ac:dyDescent="0.25">
      <c r="A40" s="38"/>
      <c r="B40" s="38"/>
      <c r="C40" s="108" t="s">
        <v>52</v>
      </c>
      <c r="D40" s="108"/>
      <c r="E40" s="109">
        <f t="shared" ref="E40:AH40" si="2">IF(COUNT(E32:E36)=0,"",(MAX(E32:E36)-MIN(E32:E36)))</f>
        <v>0.040000000000000036</v>
      </c>
      <c r="F40" s="109">
        <f>E40</f>
      </c>
      <c r="G40" s="109">
        <f>E40</f>
      </c>
      <c r="H40" s="109">
        <f>E40</f>
      </c>
      <c r="I40" s="109">
        <f>E40</f>
      </c>
      <c r="J40" s="109">
        <f>E40</f>
      </c>
      <c r="K40" s="109">
        <f>E40</f>
      </c>
      <c r="L40" s="109">
        <f>E40</f>
      </c>
      <c r="M40" s="109">
        <f>E40</f>
      </c>
      <c r="N40" s="109">
        <f>E40</f>
      </c>
      <c r="O40" s="109">
        <f>E40</f>
      </c>
      <c r="P40" s="109">
        <f>E40</f>
      </c>
      <c r="Q40" s="109">
        <f>E40</f>
      </c>
      <c r="R40" s="109">
        <f>E40</f>
      </c>
      <c r="S40" s="109">
        <f>E40</f>
      </c>
      <c r="T40" s="109">
        <f>E40</f>
      </c>
      <c r="U40" s="109">
        <f>E40</f>
      </c>
      <c r="V40" s="109">
        <f>IF(COUNT(V32:V36)=0,"",(MAX(V32:V36)-MIN(V32:V36)))</f>
      </c>
      <c r="W40" s="109">
        <f>IF(COUNT(W32:W36)=0,"",(MAX(W32:W36)-MIN(W32:W36)))</f>
      </c>
      <c r="X40" s="109">
        <f>IF(COUNT(X32:X36)=0,"",(MAX(X32:X36)-MIN(X32:X36)))</f>
      </c>
      <c r="Y40" s="109">
        <f>IF(COUNT(Y32:Y36)=0,"",(MAX(Y32:Y36)-MIN(Y32:Y36)))</f>
      </c>
      <c r="Z40" s="109">
        <f>IF(COUNT(Z32:Z36)=0,"",(MAX(Z32:Z36)-MIN(Z32:Z36)))</f>
      </c>
      <c r="AA40" s="109">
        <f>E40</f>
      </c>
      <c r="AB40" s="109">
        <f>E40</f>
      </c>
      <c r="AC40" s="109">
        <f>E40</f>
      </c>
      <c r="AD40" s="109">
        <f>E40</f>
      </c>
      <c r="AE40" s="109">
        <f>E40</f>
      </c>
      <c r="AF40" s="109">
        <f>E40</f>
      </c>
      <c r="AG40" s="109">
        <f>E40</f>
      </c>
      <c r="AH40" s="109">
        <f>E40</f>
      </c>
      <c r="AI40" s="110"/>
      <c r="AJ40" s="111" t="s">
        <v>53</v>
      </c>
      <c r="AK40" s="112"/>
      <c r="AL40" s="113">
        <f>(AL4-AK4)/(6*AL35)</f>
        <v>9.708333333333325</v>
      </c>
      <c r="AM40" s="114"/>
      <c r="AN40" s="38"/>
      <c r="AO40" s="2"/>
      <c r="AP40" s="2"/>
      <c r="AQ40" s="2"/>
    </row>
    <row r="41" ht="30.75" customHeight="1" spans="1:4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15"/>
      <c r="S41" s="1"/>
      <c r="T41" s="1"/>
      <c r="U41" s="1"/>
      <c r="V41" s="1"/>
      <c r="W41" s="1"/>
      <c r="X41" s="1"/>
      <c r="Y41" s="116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2"/>
      <c r="AP41" s="2"/>
      <c r="AQ41" s="2"/>
    </row>
    <row r="42" ht="12" customHeight="1" spans="1:43" x14ac:dyDescent="0.25">
      <c r="A42" s="117"/>
      <c r="B42" s="117"/>
      <c r="C42" s="117"/>
      <c r="D42" s="118" t="s">
        <v>54</v>
      </c>
      <c r="E42" s="119">
        <f t="shared" ref="E42:AH42" si="3">$M$7</f>
        <v>4.0932</v>
      </c>
      <c r="F42" s="119">
        <f>E42</f>
        <v>4.0932</v>
      </c>
      <c r="G42" s="119">
        <f>E42</f>
        <v>4.0932</v>
      </c>
      <c r="H42" s="119">
        <f>E42</f>
        <v>4.0932</v>
      </c>
      <c r="I42" s="119">
        <f>E42</f>
        <v>4.0932</v>
      </c>
      <c r="J42" s="119">
        <f>E42</f>
        <v>4.0932</v>
      </c>
      <c r="K42" s="119">
        <f>E42</f>
        <v>4.0932</v>
      </c>
      <c r="L42" s="119">
        <f>E42</f>
        <v>4.0932</v>
      </c>
      <c r="M42" s="119">
        <f>E42</f>
        <v>4.0932</v>
      </c>
      <c r="N42" s="119">
        <f>E42</f>
        <v>4.0932</v>
      </c>
      <c r="O42" s="119">
        <f>E42</f>
        <v>4.0932</v>
      </c>
      <c r="P42" s="119">
        <f>E42</f>
        <v>4.0932</v>
      </c>
      <c r="Q42" s="119">
        <f>E42</f>
        <v>4.0932</v>
      </c>
      <c r="R42" s="119">
        <f>E42</f>
        <v>4.0932</v>
      </c>
      <c r="S42" s="119">
        <f>E42</f>
        <v>4.0932</v>
      </c>
      <c r="T42" s="119">
        <f>E42</f>
        <v>4.0932</v>
      </c>
      <c r="U42" s="119">
        <f>E42</f>
        <v>4.0932</v>
      </c>
      <c r="V42" s="119">
        <f>E42</f>
        <v>4.0932</v>
      </c>
      <c r="W42" s="119">
        <f>E42</f>
        <v>4.0932</v>
      </c>
      <c r="X42" s="119">
        <f>E42</f>
        <v>4.0932</v>
      </c>
      <c r="Y42" s="119">
        <f>E42</f>
        <v>4.0932</v>
      </c>
      <c r="Z42" s="119">
        <f>E42</f>
        <v>4.0932</v>
      </c>
      <c r="AA42" s="119">
        <f>E42</f>
        <v>4.0932</v>
      </c>
      <c r="AB42" s="119">
        <f>E42</f>
        <v>4.0932</v>
      </c>
      <c r="AC42" s="119">
        <f>E42</f>
        <v>4.0932</v>
      </c>
      <c r="AD42" s="119">
        <f>E42</f>
        <v>4.0932</v>
      </c>
      <c r="AE42" s="119">
        <f>E42</f>
        <v>4.0932</v>
      </c>
      <c r="AF42" s="119">
        <f>E42</f>
        <v>4.0932</v>
      </c>
      <c r="AG42" s="119">
        <f>E42</f>
        <v>4.0932</v>
      </c>
      <c r="AH42" s="119">
        <f>E42</f>
        <v>4.0932</v>
      </c>
      <c r="AI42" s="117"/>
      <c r="AJ42" s="117"/>
      <c r="AK42" s="117"/>
      <c r="AL42" s="117"/>
      <c r="AM42" s="117"/>
      <c r="AN42" s="117"/>
      <c r="AO42" s="120"/>
      <c r="AP42" s="120"/>
      <c r="AQ42" s="120"/>
    </row>
    <row r="43" ht="12" customHeight="1" spans="1:43" x14ac:dyDescent="0.25">
      <c r="A43" s="117"/>
      <c r="B43" s="117"/>
      <c r="C43" s="117"/>
      <c r="D43" s="118" t="s">
        <v>55</v>
      </c>
      <c r="E43" s="121">
        <f t="shared" ref="E43:AH43" si="4">IF($AK$4="","",$S$7)</f>
        <v>4.0468</v>
      </c>
      <c r="F43" s="121">
        <f>E43</f>
        <v>4.0468</v>
      </c>
      <c r="G43" s="121">
        <f>E43</f>
        <v>4.0468</v>
      </c>
      <c r="H43" s="121">
        <f>E43</f>
        <v>4.0468</v>
      </c>
      <c r="I43" s="121">
        <f>E43</f>
        <v>4.0468</v>
      </c>
      <c r="J43" s="121">
        <f>E43</f>
        <v>4.0468</v>
      </c>
      <c r="K43" s="121">
        <f>E43</f>
        <v>4.0468</v>
      </c>
      <c r="L43" s="121">
        <f>E43</f>
        <v>4.0468</v>
      </c>
      <c r="M43" s="121">
        <f>E43</f>
        <v>4.0468</v>
      </c>
      <c r="N43" s="121">
        <f>E43</f>
        <v>4.0468</v>
      </c>
      <c r="O43" s="121">
        <f>E43</f>
        <v>4.0468</v>
      </c>
      <c r="P43" s="121">
        <f>E43</f>
        <v>4.0468</v>
      </c>
      <c r="Q43" s="121">
        <f>E43</f>
        <v>4.0468</v>
      </c>
      <c r="R43" s="121">
        <f>E43</f>
        <v>4.0468</v>
      </c>
      <c r="S43" s="121">
        <f>E43</f>
        <v>4.0468</v>
      </c>
      <c r="T43" s="121">
        <f>E43</f>
        <v>4.0468</v>
      </c>
      <c r="U43" s="121">
        <f>E43</f>
        <v>4.0468</v>
      </c>
      <c r="V43" s="121">
        <f>E43</f>
        <v>4.0468</v>
      </c>
      <c r="W43" s="121">
        <f>E43</f>
        <v>4.0468</v>
      </c>
      <c r="X43" s="121">
        <f>E43</f>
        <v>4.0468</v>
      </c>
      <c r="Y43" s="121">
        <f>E43</f>
        <v>4.0468</v>
      </c>
      <c r="Z43" s="121">
        <f>E43</f>
        <v>4.0468</v>
      </c>
      <c r="AA43" s="121">
        <f>E43</f>
        <v>4.0468</v>
      </c>
      <c r="AB43" s="121">
        <f>E43</f>
        <v>4.0468</v>
      </c>
      <c r="AC43" s="121">
        <f>E43</f>
        <v>4.0468</v>
      </c>
      <c r="AD43" s="121">
        <f>E43</f>
        <v>4.0468</v>
      </c>
      <c r="AE43" s="121">
        <f>E43</f>
        <v>4.0468</v>
      </c>
      <c r="AF43" s="121">
        <f>E43</f>
        <v>4.0468</v>
      </c>
      <c r="AG43" s="121">
        <f>E43</f>
        <v>4.0468</v>
      </c>
      <c r="AH43" s="121">
        <f>E43</f>
        <v>4.0468</v>
      </c>
      <c r="AI43" s="117"/>
      <c r="AJ43" s="117"/>
      <c r="AK43" s="117"/>
      <c r="AL43" s="117"/>
      <c r="AM43" s="117"/>
      <c r="AN43" s="117"/>
      <c r="AO43" s="120"/>
      <c r="AP43" s="120"/>
      <c r="AQ43" s="120"/>
    </row>
    <row r="44" ht="12" customHeight="1" spans="1:43" x14ac:dyDescent="0.25">
      <c r="A44" s="122"/>
      <c r="B44" s="122"/>
      <c r="C44" s="122"/>
      <c r="D44" s="117" t="s">
        <v>56</v>
      </c>
      <c r="E44" s="119">
        <f t="shared" ref="E44:AH44" si="5">$F$7</f>
        <v>4.07</v>
      </c>
      <c r="F44" s="119">
        <f>E44</f>
        <v>4.07</v>
      </c>
      <c r="G44" s="119">
        <f>E44</f>
        <v>4.07</v>
      </c>
      <c r="H44" s="119">
        <f>E44</f>
        <v>4.07</v>
      </c>
      <c r="I44" s="119">
        <f>E44</f>
        <v>4.07</v>
      </c>
      <c r="J44" s="119">
        <f>E44</f>
        <v>4.07</v>
      </c>
      <c r="K44" s="119">
        <f>E44</f>
        <v>4.07</v>
      </c>
      <c r="L44" s="119">
        <f>E44</f>
        <v>4.07</v>
      </c>
      <c r="M44" s="119">
        <f>E44</f>
        <v>4.07</v>
      </c>
      <c r="N44" s="119">
        <f>E44</f>
        <v>4.07</v>
      </c>
      <c r="O44" s="119">
        <f>E44</f>
        <v>4.07</v>
      </c>
      <c r="P44" s="119">
        <f>E44</f>
        <v>4.07</v>
      </c>
      <c r="Q44" s="119">
        <f>E44</f>
        <v>4.07</v>
      </c>
      <c r="R44" s="119">
        <f>E44</f>
        <v>4.07</v>
      </c>
      <c r="S44" s="119">
        <f>E44</f>
        <v>4.07</v>
      </c>
      <c r="T44" s="119">
        <f>E44</f>
        <v>4.07</v>
      </c>
      <c r="U44" s="119">
        <f>E44</f>
        <v>4.07</v>
      </c>
      <c r="V44" s="119">
        <f>E44</f>
        <v>4.07</v>
      </c>
      <c r="W44" s="119">
        <f>E44</f>
        <v>4.07</v>
      </c>
      <c r="X44" s="119">
        <f>E44</f>
        <v>4.07</v>
      </c>
      <c r="Y44" s="119">
        <f>E44</f>
        <v>4.07</v>
      </c>
      <c r="Z44" s="119">
        <f>E44</f>
        <v>4.07</v>
      </c>
      <c r="AA44" s="119">
        <f>E44</f>
        <v>4.07</v>
      </c>
      <c r="AB44" s="119">
        <f>E44</f>
        <v>4.07</v>
      </c>
      <c r="AC44" s="119">
        <f>E44</f>
        <v>4.07</v>
      </c>
      <c r="AD44" s="119">
        <f>E44</f>
        <v>4.07</v>
      </c>
      <c r="AE44" s="119">
        <f>E44</f>
        <v>4.07</v>
      </c>
      <c r="AF44" s="119">
        <f>E44</f>
        <v>4.07</v>
      </c>
      <c r="AG44" s="119">
        <f>E44</f>
        <v>4.07</v>
      </c>
      <c r="AH44" s="119">
        <f>E44</f>
        <v>4.07</v>
      </c>
      <c r="AI44" s="122"/>
      <c r="AJ44" s="122"/>
      <c r="AK44" s="122"/>
      <c r="AL44" s="122"/>
      <c r="AM44" s="122"/>
      <c r="AN44" s="122"/>
      <c r="AO44" s="120"/>
      <c r="AP44" s="120"/>
      <c r="AQ44" s="120"/>
    </row>
    <row r="45" ht="12" customHeight="1" spans="1:43" x14ac:dyDescent="0.25">
      <c r="A45" s="122"/>
      <c r="B45" s="122"/>
      <c r="C45" s="122"/>
      <c r="D45" s="117" t="s">
        <v>57</v>
      </c>
      <c r="E45" s="121">
        <f t="shared" ref="E45:AH45" si="6">$M$21</f>
        <v>0.08440000000000007</v>
      </c>
      <c r="F45" s="121">
        <f>E45</f>
        <v>0.08440000000000007</v>
      </c>
      <c r="G45" s="121">
        <f>E45</f>
        <v>0.08440000000000007</v>
      </c>
      <c r="H45" s="121">
        <f>E45</f>
        <v>0.08440000000000007</v>
      </c>
      <c r="I45" s="121">
        <f>E45</f>
        <v>0.08440000000000007</v>
      </c>
      <c r="J45" s="121">
        <f>E45</f>
        <v>0.08440000000000007</v>
      </c>
      <c r="K45" s="121">
        <f>E45</f>
        <v>0.08440000000000007</v>
      </c>
      <c r="L45" s="121">
        <f>E45</f>
        <v>0.08440000000000007</v>
      </c>
      <c r="M45" s="121">
        <f>E45</f>
        <v>0.08440000000000007</v>
      </c>
      <c r="N45" s="121">
        <f>E45</f>
        <v>0.08440000000000007</v>
      </c>
      <c r="O45" s="121">
        <f>E45</f>
        <v>0.08440000000000007</v>
      </c>
      <c r="P45" s="121">
        <f>E45</f>
        <v>0.08440000000000007</v>
      </c>
      <c r="Q45" s="121">
        <f>E45</f>
        <v>0.08440000000000007</v>
      </c>
      <c r="R45" s="121">
        <f>E45</f>
        <v>0.08440000000000007</v>
      </c>
      <c r="S45" s="121">
        <f>E45</f>
        <v>0.08440000000000007</v>
      </c>
      <c r="T45" s="121">
        <f>E45</f>
        <v>0.08440000000000007</v>
      </c>
      <c r="U45" s="121">
        <f>E45</f>
        <v>0.08440000000000007</v>
      </c>
      <c r="V45" s="121">
        <f>E45</f>
        <v>0.08440000000000007</v>
      </c>
      <c r="W45" s="121">
        <f>E45</f>
        <v>0.08440000000000007</v>
      </c>
      <c r="X45" s="121">
        <f>E45</f>
        <v>0.08440000000000007</v>
      </c>
      <c r="Y45" s="121">
        <f>E45</f>
        <v>0.08440000000000007</v>
      </c>
      <c r="Z45" s="121">
        <f>E45</f>
        <v>0.08440000000000007</v>
      </c>
      <c r="AA45" s="121">
        <f>E45</f>
        <v>0.08440000000000007</v>
      </c>
      <c r="AB45" s="121">
        <f>E45</f>
        <v>0.08440000000000007</v>
      </c>
      <c r="AC45" s="121">
        <f>E45</f>
        <v>0.08440000000000007</v>
      </c>
      <c r="AD45" s="121">
        <f>E45</f>
        <v>0.08440000000000007</v>
      </c>
      <c r="AE45" s="121">
        <f>E45</f>
        <v>0.08440000000000007</v>
      </c>
      <c r="AF45" s="121">
        <f>E45</f>
        <v>0.08440000000000007</v>
      </c>
      <c r="AG45" s="121">
        <f>E45</f>
        <v>0.08440000000000007</v>
      </c>
      <c r="AH45" s="121">
        <f>E45</f>
        <v>0.08440000000000007</v>
      </c>
      <c r="AI45" s="122"/>
      <c r="AJ45" s="122"/>
      <c r="AK45" s="122"/>
      <c r="AL45" s="122"/>
      <c r="AM45" s="122"/>
      <c r="AN45" s="122"/>
      <c r="AO45" s="120"/>
      <c r="AP45" s="120"/>
      <c r="AQ45" s="120"/>
    </row>
    <row r="46" spans="1:43" x14ac:dyDescent="0.25">
      <c r="A46" s="123"/>
      <c r="B46" s="123"/>
      <c r="C46" s="123"/>
      <c r="D46" s="124" t="s">
        <v>58</v>
      </c>
      <c r="E46" s="121">
        <f t="shared" ref="E46:AI46" si="7">$F$21</f>
        <v>0.040000000000000036</v>
      </c>
      <c r="F46" s="121">
        <f>E46</f>
        <v>0.040000000000000036</v>
      </c>
      <c r="G46" s="121">
        <f>E46</f>
        <v>0.040000000000000036</v>
      </c>
      <c r="H46" s="121">
        <f>E46</f>
        <v>0.040000000000000036</v>
      </c>
      <c r="I46" s="121">
        <f>E46</f>
        <v>0.040000000000000036</v>
      </c>
      <c r="J46" s="121">
        <f>E46</f>
        <v>0.040000000000000036</v>
      </c>
      <c r="K46" s="121">
        <f>E46</f>
        <v>0.040000000000000036</v>
      </c>
      <c r="L46" s="121">
        <f>E46</f>
        <v>0.040000000000000036</v>
      </c>
      <c r="M46" s="121">
        <f>E46</f>
        <v>0.040000000000000036</v>
      </c>
      <c r="N46" s="121">
        <f>E46</f>
        <v>0.040000000000000036</v>
      </c>
      <c r="O46" s="121">
        <f>E46</f>
        <v>0.040000000000000036</v>
      </c>
      <c r="P46" s="121">
        <f>E46</f>
        <v>0.040000000000000036</v>
      </c>
      <c r="Q46" s="121">
        <f>E46</f>
        <v>0.040000000000000036</v>
      </c>
      <c r="R46" s="121">
        <f>E46</f>
        <v>0.040000000000000036</v>
      </c>
      <c r="S46" s="121">
        <f>E46</f>
        <v>0.040000000000000036</v>
      </c>
      <c r="T46" s="121">
        <f>E46</f>
        <v>0.040000000000000036</v>
      </c>
      <c r="U46" s="121">
        <f>E46</f>
        <v>0.040000000000000036</v>
      </c>
      <c r="V46" s="121">
        <f>E46</f>
        <v>0.040000000000000036</v>
      </c>
      <c r="W46" s="121">
        <f>E46</f>
        <v>0.040000000000000036</v>
      </c>
      <c r="X46" s="121">
        <f>E46</f>
        <v>0.040000000000000036</v>
      </c>
      <c r="Y46" s="121">
        <f>E46</f>
        <v>0.040000000000000036</v>
      </c>
      <c r="Z46" s="121">
        <f>E46</f>
        <v>0.040000000000000036</v>
      </c>
      <c r="AA46" s="121">
        <f>E46</f>
        <v>0.040000000000000036</v>
      </c>
      <c r="AB46" s="121">
        <f>E46</f>
        <v>0.040000000000000036</v>
      </c>
      <c r="AC46" s="121">
        <f>E46</f>
        <v>0.040000000000000036</v>
      </c>
      <c r="AD46" s="121">
        <f>E46</f>
        <v>0.040000000000000036</v>
      </c>
      <c r="AE46" s="121">
        <f>E46</f>
        <v>0.040000000000000036</v>
      </c>
      <c r="AF46" s="121">
        <f>E46</f>
        <v>0.040000000000000036</v>
      </c>
      <c r="AG46" s="121">
        <f>E46</f>
        <v>0.040000000000000036</v>
      </c>
      <c r="AH46" s="121">
        <f>E46</f>
        <v>0.040000000000000036</v>
      </c>
      <c r="AI46" s="121">
        <f>E46</f>
        <v>0.040000000000000036</v>
      </c>
      <c r="AJ46" s="123"/>
      <c r="AK46" s="123"/>
      <c r="AL46" s="123"/>
      <c r="AM46" s="123"/>
      <c r="AN46" s="123"/>
      <c r="AO46" s="120"/>
      <c r="AP46" s="120"/>
      <c r="AQ46" s="120"/>
    </row>
    <row r="47" spans="1:43" x14ac:dyDescent="0.25">
      <c r="A47" s="123"/>
      <c r="B47" s="123"/>
      <c r="C47" s="123"/>
      <c r="D47" s="123" t="s">
        <v>59</v>
      </c>
      <c r="E47" s="125"/>
      <c r="F47" s="126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0"/>
      <c r="AP47" s="120"/>
      <c r="AQ47" s="120"/>
    </row>
  </sheetData>
  <mergeCells count="25">
    <mergeCell ref="AJ2:AM2"/>
    <mergeCell ref="E4:I4"/>
    <mergeCell ref="J4:L4"/>
    <mergeCell ref="M4:Q4"/>
    <mergeCell ref="U4:AH4"/>
    <mergeCell ref="E5:I5"/>
    <mergeCell ref="J5:L5"/>
    <mergeCell ref="M5:Q5"/>
    <mergeCell ref="U5:AG5"/>
    <mergeCell ref="AJ11:AM11"/>
    <mergeCell ref="AL12:AM12"/>
    <mergeCell ref="AL13:AM14"/>
    <mergeCell ref="AJ13:AJ14"/>
    <mergeCell ref="AK13:AK14"/>
    <mergeCell ref="AL15:AM17"/>
    <mergeCell ref="AJ15:AJ17"/>
    <mergeCell ref="AK15:AK17"/>
    <mergeCell ref="AL18:AM19"/>
    <mergeCell ref="AJ18:AJ19"/>
    <mergeCell ref="AK18:AK19"/>
    <mergeCell ref="AJ21:AM22"/>
    <mergeCell ref="C31:D31"/>
    <mergeCell ref="C37:D37"/>
    <mergeCell ref="C39:D39"/>
    <mergeCell ref="C40:D40"/>
  </mergeCells>
  <printOptions horizontalCentered="1" verticalCentered="1"/>
  <pageMargins left="0.5118110236220472" right="0.2755905511811024" top="0.5905511811023623" bottom="0.5905511811023623" header="0.15748031496062992" footer="0.31496062992125984"/>
  <pageSetup paperSize="9" orientation="landscape" horizontalDpi="4294967295" verticalDpi="300" scale="9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L4101-01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2026-08-23T07:26:37Z</dcterms:created>
  <dcterms:modified xsi:type="dcterms:W3CDTF">2026-08-23T07:26:37Z</dcterms:modified>
</cp:coreProperties>
</file>