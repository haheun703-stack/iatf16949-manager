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24" state="visible" r:id="rId4"/>
  </sheets>
  <definedNames>
    <definedName name="_xlnm.Print_Area" localSheetId="0">'L1100-24'!$E6:$N56</definedName>
  </definedNames>
  <calcPr calcId="171027"/>
</workbook>
</file>

<file path=xl/sharedStrings.xml><?xml version="1.0" encoding="utf-8"?>
<sst xmlns="http://schemas.openxmlformats.org/spreadsheetml/2006/main" count="97" uniqueCount="96">
  <si>
    <t/>
  </si>
  <si>
    <r>
      <t>data</t>
    </r>
    <r>
      <rPr>
        <b/>
        <charset val="129"/>
        <color indexed="9"/>
        <family val="3"/>
        <sz val="18"/>
        <rFont val="돋움"/>
      </rPr>
      <t>를</t>
    </r>
    <r>
      <rPr>
        <b/>
        <color indexed="9"/>
        <family val="2"/>
        <sz val="18"/>
        <rFont val="Arial"/>
      </rPr>
      <t xml:space="preserve"> </t>
    </r>
    <r>
      <rPr>
        <b/>
        <charset val="129"/>
        <color indexed="9"/>
        <family val="3"/>
        <sz val="18"/>
        <rFont val="돋움"/>
      </rPr>
      <t>입력하시오</t>
    </r>
  </si>
  <si>
    <t xml:space="preserve">▼
▼</t>
  </si>
  <si>
    <t>설비능력 지수표/Cmk</t>
  </si>
  <si>
    <t>WARNING</t>
  </si>
  <si>
    <t>업체명</t>
  </si>
  <si>
    <t xml:space="preserve">   업체명:</t>
  </si>
  <si>
    <r>
      <t>자동서식이므로</t>
    </r>
    <r>
      <rPr>
        <b/>
        <color indexed="9"/>
        <family val="2"/>
        <sz val="22"/>
        <rFont val="Arial"/>
      </rPr>
      <t xml:space="preserve"> </t>
    </r>
    <r>
      <rPr>
        <b/>
        <charset val="129"/>
        <color indexed="9"/>
        <family val="3"/>
        <sz val="22"/>
        <rFont val="돋움"/>
      </rPr>
      <t>손대면</t>
    </r>
    <r>
      <rPr>
        <b/>
        <color indexed="9"/>
        <family val="2"/>
        <sz val="22"/>
        <rFont val="Arial"/>
      </rPr>
      <t xml:space="preserve"> </t>
    </r>
    <r>
      <rPr>
        <b/>
        <charset val="129"/>
        <color indexed="9"/>
        <family val="3"/>
        <sz val="22"/>
        <rFont val="돋움"/>
      </rPr>
      <t>안됨니다</t>
    </r>
    <r>
      <rPr>
        <b/>
        <color indexed="9"/>
        <family val="2"/>
        <sz val="22"/>
        <rFont val="Arial"/>
      </rPr>
      <t>.</t>
    </r>
  </si>
  <si>
    <t>1.MODEL:</t>
  </si>
  <si>
    <t xml:space="preserve">  1.MODEL:</t>
  </si>
  <si>
    <r>
      <t xml:space="preserve">5.USL :
</t>
    </r>
    <r>
      <rPr>
        <b/>
        <charset val="129"/>
        <color indexed="8"/>
        <family val="3"/>
        <sz val="8"/>
        <rFont val="굴림체"/>
      </rPr>
      <t>(규격상한)</t>
    </r>
  </si>
  <si>
    <t>9.측정자 :</t>
  </si>
  <si>
    <r>
      <t>MAX+</t>
    </r>
    <r>
      <rPr>
        <b/>
        <charset val="129"/>
        <family val="3"/>
        <sz val="12"/>
        <rFont val="돋움"/>
      </rPr>
      <t>최소</t>
    </r>
    <r>
      <rPr>
        <b/>
        <family val="2"/>
        <sz val="12"/>
        <rFont val="Arial"/>
      </rPr>
      <t>/2</t>
    </r>
  </si>
  <si>
    <t>최소단위</t>
  </si>
  <si>
    <r>
      <t>2</t>
    </r>
    <r>
      <rPr>
        <b/>
        <charset val="129"/>
        <color indexed="12"/>
        <family val="3"/>
        <sz val="10"/>
        <rFont val="돋움"/>
      </rPr>
      <t>공정명</t>
    </r>
    <r>
      <rPr>
        <b/>
        <color indexed="12"/>
        <family val="2"/>
        <sz val="10"/>
        <rFont val="Arial"/>
      </rPr>
      <t xml:space="preserve"> :</t>
    </r>
  </si>
  <si>
    <t xml:space="preserve">  2.공정명:</t>
  </si>
  <si>
    <r>
      <t xml:space="preserve">6.LSL :
</t>
    </r>
    <r>
      <rPr>
        <b/>
        <charset val="129"/>
        <color indexed="8"/>
        <family val="3"/>
        <sz val="8"/>
        <rFont val="굴림체"/>
      </rPr>
      <t>(규격하한)</t>
    </r>
  </si>
  <si>
    <t>10.측정일:</t>
  </si>
  <si>
    <t>X+3s</t>
  </si>
  <si>
    <t>Max</t>
  </si>
  <si>
    <t>N</t>
  </si>
  <si>
    <t>d2</t>
  </si>
  <si>
    <r>
      <t>3.품명</t>
    </r>
    <r>
      <rPr>
        <b/>
        <color indexed="12"/>
        <family val="2"/>
        <sz val="10"/>
        <rFont val="Arial"/>
      </rPr>
      <t xml:space="preserve"> :</t>
    </r>
  </si>
  <si>
    <t xml:space="preserve">  3.품명(번):</t>
  </si>
  <si>
    <r>
      <t xml:space="preserve">7.TOL :
</t>
    </r>
    <r>
      <rPr>
        <b/>
        <charset val="129"/>
        <color indexed="8"/>
        <family val="3"/>
        <sz val="8"/>
        <rFont val="굴림체"/>
      </rPr>
      <t>(공차)</t>
    </r>
  </si>
  <si>
    <t>11.단  위:</t>
  </si>
  <si>
    <t>US</t>
  </si>
  <si>
    <t>Min</t>
  </si>
  <si>
    <r>
      <t>공차종류</t>
    </r>
    <r>
      <rPr>
        <b/>
        <color indexed="12"/>
        <family val="2"/>
        <sz val="10"/>
        <rFont val="Arial"/>
      </rPr>
      <t>:</t>
    </r>
  </si>
  <si>
    <t xml:space="preserve">  4.공차유형:</t>
  </si>
  <si>
    <t>8.규격중심:</t>
  </si>
  <si>
    <t>12.계측기:</t>
  </si>
  <si>
    <r>
      <t>MIN-</t>
    </r>
    <r>
      <rPr>
        <b/>
        <charset val="129"/>
        <family val="3"/>
        <sz val="12"/>
        <rFont val="돋움"/>
      </rPr>
      <t>최소</t>
    </r>
    <r>
      <rPr>
        <b/>
        <family val="2"/>
        <sz val="12"/>
        <rFont val="Arial"/>
      </rPr>
      <t>/2</t>
    </r>
  </si>
  <si>
    <t>종류수</t>
  </si>
  <si>
    <t>계급수</t>
  </si>
  <si>
    <t>x 1</t>
  </si>
  <si>
    <t>x 2</t>
  </si>
  <si>
    <t>x 3</t>
  </si>
  <si>
    <t>x 4</t>
  </si>
  <si>
    <t>x 5</t>
  </si>
  <si>
    <r>
      <t>GROUP</t>
    </r>
    <r>
      <rPr>
        <b/>
        <charset val="129"/>
        <color indexed="10"/>
        <family val="3"/>
        <sz val="12"/>
        <rFont val="돋움"/>
      </rPr>
      <t>평균</t>
    </r>
  </si>
  <si>
    <t>RANGE</t>
  </si>
  <si>
    <t>X-3s</t>
  </si>
  <si>
    <r>
      <t>한급종류</t>
    </r>
    <r>
      <rPr>
        <b/>
        <family val="2"/>
        <sz val="12"/>
        <rFont val="Arial"/>
      </rPr>
      <t>r</t>
    </r>
  </si>
  <si>
    <r>
      <t>SPEC</t>
    </r>
    <r>
      <rPr>
        <b/>
        <charset val="129"/>
        <color indexed="12"/>
        <family val="3"/>
        <sz val="10"/>
        <rFont val="돋움"/>
      </rPr>
      <t>상한</t>
    </r>
    <r>
      <rPr>
        <b/>
        <color indexed="12"/>
        <family val="2"/>
        <sz val="10"/>
        <rFont val="Arial"/>
      </rPr>
      <t>:</t>
    </r>
  </si>
  <si>
    <t>GROUP  1</t>
  </si>
  <si>
    <t>LS</t>
  </si>
  <si>
    <t>급의폭</t>
  </si>
  <si>
    <r>
      <t>SPEC</t>
    </r>
    <r>
      <rPr>
        <b/>
        <charset val="129"/>
        <color indexed="12"/>
        <family val="3"/>
        <sz val="10"/>
        <rFont val="돋움"/>
      </rPr>
      <t>하한</t>
    </r>
    <r>
      <rPr>
        <b/>
        <color indexed="12"/>
        <family val="2"/>
        <sz val="10"/>
        <rFont val="Arial"/>
      </rPr>
      <t>:</t>
    </r>
  </si>
  <si>
    <t>GROUP  2</t>
  </si>
  <si>
    <t>a</t>
  </si>
  <si>
    <r>
      <t xml:space="preserve"> </t>
    </r>
    <r>
      <rPr>
        <b/>
        <charset val="129"/>
        <color indexed="12"/>
        <family val="3"/>
        <sz val="10"/>
        <rFont val="돋움"/>
      </rPr>
      <t>측정자</t>
    </r>
    <r>
      <rPr>
        <b/>
        <color indexed="12"/>
        <family val="2"/>
        <sz val="10"/>
        <rFont val="Arial"/>
      </rPr>
      <t xml:space="preserve"> :</t>
    </r>
  </si>
  <si>
    <r>
      <t>단위명을</t>
    </r>
    <r>
      <rPr>
        <b/>
        <color indexed="9"/>
        <family val="2"/>
        <sz val="10"/>
        <rFont val="Arial"/>
      </rPr>
      <t xml:space="preserve"> </t>
    </r>
    <r>
      <rPr>
        <b/>
        <charset val="129"/>
        <color indexed="9"/>
        <family val="3"/>
        <sz val="10"/>
        <rFont val="돋움"/>
      </rPr>
      <t>입력하시오</t>
    </r>
  </si>
  <si>
    <t>GROUP  3</t>
  </si>
  <si>
    <t>b</t>
  </si>
  <si>
    <r>
      <t>측정기간</t>
    </r>
    <r>
      <rPr>
        <b/>
        <color indexed="12"/>
        <family val="2"/>
        <sz val="10"/>
        <rFont val="Arial"/>
      </rPr>
      <t>:</t>
    </r>
  </si>
  <si>
    <t>▼</t>
  </si>
  <si>
    <t>GROUP  4</t>
  </si>
  <si>
    <t>h</t>
  </si>
  <si>
    <r>
      <t>최소단위</t>
    </r>
    <r>
      <rPr>
        <b/>
        <color indexed="12"/>
        <family val="2"/>
        <sz val="10"/>
        <rFont val="Arial"/>
      </rPr>
      <t>:</t>
    </r>
  </si>
  <si>
    <t>GROUP  5</t>
  </si>
  <si>
    <t>계측기</t>
  </si>
  <si>
    <t>GROUP  6</t>
  </si>
  <si>
    <r>
      <t>DATA</t>
    </r>
    <r>
      <rPr>
        <b/>
        <charset val="129"/>
        <color indexed="12"/>
        <family val="3"/>
        <sz val="10"/>
        <rFont val="돋움"/>
      </rPr>
      <t>입력</t>
    </r>
    <r>
      <rPr>
        <b/>
        <color indexed="12"/>
        <family val="2"/>
        <sz val="10"/>
        <rFont val="Arial"/>
      </rPr>
      <t>1</t>
    </r>
  </si>
  <si>
    <t>GROUP  7</t>
  </si>
  <si>
    <t>GROUP  8</t>
  </si>
  <si>
    <t>GROUP 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</si>
  <si>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</si>
  <si>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</si>
  <si>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</si>
  <si>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</si>
  <si>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</si>
  <si>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</si>
  <si>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</si>
  <si>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</si>
  <si>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</si>
  <si>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</si>
  <si>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</si>
  <si>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MEAN =</t>
  </si>
  <si>
    <t>MIN =</t>
  </si>
  <si>
    <t>MAX =</t>
  </si>
  <si>
    <t>N =</t>
  </si>
  <si>
    <t xml:space="preserve"> SIGMA =</t>
  </si>
  <si>
    <t xml:space="preserve">    Cm =</t>
  </si>
  <si>
    <t xml:space="preserve">   Cmk =</t>
  </si>
  <si>
    <t xml:space="preserve">     k =</t>
  </si>
  <si>
    <t xml:space="preserve">   PC% =</t>
  </si>
  <si>
    <t xml:space="preserve">  PCk% =</t>
  </si>
  <si>
    <t>OUT OF UPPER SPEC =</t>
  </si>
  <si>
    <t>OUT OF LOWER SPEC   =</t>
  </si>
  <si>
    <t>KURTOSIS =</t>
  </si>
  <si>
    <t>SKEWNESS =</t>
  </si>
  <si>
    <r>
      <t>SPREAD RANGE(6</t>
    </r>
    <r>
      <rPr>
        <b/>
        <charset val="129"/>
        <family val="3"/>
        <sz val="11"/>
        <rFont val="돋움"/>
      </rPr>
      <t>σ</t>
    </r>
    <r>
      <rPr>
        <b/>
        <family val="2"/>
        <sz val="11"/>
        <rFont val="Arial"/>
      </rPr>
      <t>)  =</t>
    </r>
  </si>
  <si>
    <t>~</t>
  </si>
  <si>
    <t xml:space="preserve"> DISTRIBUTION CURVE/히스토그램</t>
  </si>
  <si>
    <r>
      <t>100</t>
    </r>
    <r>
      <rPr>
        <b/>
        <charset val="129"/>
        <color indexed="12"/>
        <family val="3"/>
        <sz val="10"/>
        <rFont val="돋움"/>
      </rPr>
      <t>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</si>
</sst>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b/>
      <color indexed="9"/>
      <family val="2"/>
      <sz val="10"/>
      <name val="Arial"/>
    </font>
    <font>
      <b/>
      <color indexed="9"/>
      <family val="2"/>
      <sz val="12"/>
      <name val="Arial"/>
    </font>
    <font>
      <b/>
      <family val="2"/>
      <sz val="12"/>
      <name val="Arial"/>
    </font>
    <font>
      <b/>
      <charset val="129"/>
      <color indexed="9"/>
      <family val="3"/>
      <sz val="12"/>
      <name val="돋움"/>
    </font>
    <font>
      <b/>
      <charset val="129"/>
      <color indexed="9"/>
      <family val="3"/>
      <sz val="11"/>
      <name val="돋움"/>
    </font>
    <font>
      <b/>
      <color indexed="9"/>
      <family val="2"/>
      <sz val="18"/>
      <name val="Arial"/>
    </font>
    <font>
      <b/>
      <charset val="129"/>
      <color indexed="9"/>
      <family val="3"/>
      <sz val="18"/>
      <name val="돋움"/>
    </font>
    <font>
      <b/>
      <color indexed="9"/>
      <family val="2"/>
      <sz val="11"/>
      <name val="Arial"/>
    </font>
    <font>
      <b/>
      <u/>
      <family val="2"/>
      <sz val="28"/>
      <name val="Arial"/>
    </font>
    <font>
      <b/>
      <charset val="129"/>
      <family val="3"/>
      <sz val="24"/>
      <name val="굴림체"/>
    </font>
    <font>
      <b/>
      <i/>
      <color indexed="9"/>
      <family val="2"/>
      <sz val="22"/>
      <name val="Arial"/>
    </font>
    <font>
      <b/>
      <charset val="129"/>
      <color indexed="12"/>
      <family val="3"/>
      <sz val="10"/>
      <name val="돋움"/>
    </font>
    <font>
      <b/>
      <charset val="129"/>
      <family val="3"/>
      <sz val="12"/>
      <name val="돋움"/>
    </font>
    <font>
      <b/>
      <charset val="129"/>
      <color indexed="8"/>
      <family val="3"/>
      <sz val="12"/>
      <name val="굴림체"/>
    </font>
    <font>
      <b/>
      <charset val="129"/>
      <color indexed="9"/>
      <family val="3"/>
      <sz val="22"/>
      <name val="돋움"/>
    </font>
    <font>
      <b/>
      <color indexed="12"/>
      <family val="2"/>
      <sz val="12"/>
      <name val="Arial"/>
    </font>
    <font>
      <b/>
      <color indexed="12"/>
      <family val="2"/>
      <sz val="10"/>
      <name val="Arial"/>
    </font>
    <font>
      <b/>
      <charset val="129"/>
      <family val="3"/>
      <sz val="11"/>
      <name val="돋움"/>
    </font>
    <font>
      <b/>
      <charset val="129"/>
      <color indexed="8"/>
      <family val="3"/>
      <sz val="11"/>
      <name val="굴림체"/>
    </font>
    <font>
      <b/>
      <color indexed="12"/>
      <family val="2"/>
      <sz val="11"/>
      <name val="Arial"/>
    </font>
    <font>
      <charset val="129"/>
      <family val="3"/>
      <sz val="11"/>
      <name val="돋움"/>
    </font>
    <font>
      <b/>
      <family val="2"/>
      <sz val="11"/>
      <name val="Arial"/>
    </font>
    <font>
      <b/>
      <charset val="129"/>
      <color indexed="8"/>
      <family val="3"/>
      <sz val="10"/>
      <name val="굴림체"/>
    </font>
    <font>
      <b/>
      <color indexed="8"/>
      <family val="2"/>
      <sz val="12"/>
      <name val="Arial"/>
    </font>
    <font>
      <b/>
      <color indexed="10"/>
      <family val="2"/>
      <sz val="12"/>
      <name val="Arial"/>
    </font>
    <font>
      <family val="2"/>
      <sz val="10"/>
      <name val="Arial"/>
    </font>
    <font>
      <b/>
      <color indexed="10"/>
      <family val="2"/>
      <sz val="10"/>
      <name val="Arial"/>
    </font>
    <font>
      <b/>
      <charset val="129"/>
      <color indexed="9"/>
      <family val="3"/>
      <sz val="10"/>
      <name val="돋움"/>
    </font>
    <font>
      <b/>
      <color indexed="8"/>
      <family val="2"/>
      <sz val="11"/>
      <name val="Arial"/>
    </font>
    <font>
      <b/>
      <color theme="0"/>
      <family val="2"/>
      <sz val="11"/>
      <name val="Arial"/>
    </font>
    <font>
      <b/>
      <color indexed="39"/>
      <family val="2"/>
      <sz val="11"/>
      <name val="Arial"/>
    </font>
    <font>
      <b/>
      <u/>
      <charset val="129"/>
      <family val="3"/>
      <sz val="14"/>
      <name val="굴림체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00FF"/>
        <bgColor indexed="64"/>
      </patternFill>
    </fill>
  </fills>
  <borders count="29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2" fillId="2" borderId="0" xfId="0" applyFont="1" applyFill="1" applyAlignment="1" applyProtection="1">
      <alignment horizontal="left"/>
      <protection locked="0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right"/>
    </xf>
    <xf numFmtId="0" fontId="10" fillId="0" borderId="1" xfId="0" applyFont="1" applyBorder="1" applyAlignment="1">
      <alignment horizontal="centerContinuous"/>
    </xf>
    <xf numFmtId="0" fontId="11" fillId="0" borderId="2" xfId="0" applyFont="1" applyBorder="1" applyAlignment="1">
      <alignment horizontal="centerContinuous" vertical="center"/>
    </xf>
    <xf numFmtId="0" fontId="11" fillId="0" borderId="3" xfId="0" applyFont="1" applyBorder="1" applyAlignment="1">
      <alignment horizontal="centerContinuous" vertical="center"/>
    </xf>
    <xf numFmtId="0" fontId="12" fillId="2" borderId="0" xfId="0" applyFont="1" applyFill="1"/>
    <xf numFmtId="0" fontId="13" fillId="3" borderId="0" xfId="0" applyFont="1" applyFill="1" applyAlignment="1">
      <alignment horizontal="center"/>
    </xf>
    <xf numFmtId="0" fontId="14" fillId="0" borderId="0" xfId="0" applyFont="1"/>
    <xf numFmtId="0" fontId="9" fillId="2" borderId="0" xfId="0" applyFont="1" applyFill="1" applyAlignment="1">
      <alignment horizontal="center" vertical="center" wrapText="1"/>
    </xf>
    <xf numFmtId="0" fontId="15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16" fillId="4" borderId="0" xfId="0" applyFont="1" applyFill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17" fillId="4" borderId="0" xfId="0" applyFont="1" applyFill="1" applyProtection="1">
      <protection locked="0"/>
    </xf>
    <xf numFmtId="0" fontId="18" fillId="3" borderId="0" xfId="0" applyFont="1" applyFill="1" applyAlignment="1">
      <alignment horizontal="right"/>
    </xf>
    <xf numFmtId="49" fontId="19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0" fontId="20" fillId="0" borderId="5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20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1" fillId="0" borderId="6" xfId="0" applyFont="1" applyBorder="1" applyAlignment="1">
      <alignment horizontal="center" vertical="center"/>
    </xf>
    <xf numFmtId="0" fontId="18" fillId="0" borderId="7" xfId="0" applyFont="1" applyBorder="1" applyAlignment="1" applyProtection="1">
      <alignment horizontal="left" vertical="center"/>
      <protection locked="0"/>
    </xf>
    <xf numFmtId="0" fontId="2" fillId="2" borderId="0" xfId="0" applyFont="1" applyFill="1" applyProtection="1">
      <protection locked="0"/>
    </xf>
    <xf numFmtId="0" fontId="4" fillId="4" borderId="5" xfId="0" applyFont="1" applyFill="1" applyBorder="1"/>
    <xf numFmtId="0" fontId="4" fillId="4" borderId="6" xfId="0" applyFont="1" applyFill="1" applyBorder="1"/>
    <xf numFmtId="0" fontId="4" fillId="4" borderId="6" xfId="0" applyFont="1" applyFill="1" applyBorder="1" applyAlignment="1">
      <alignment horizontal="right"/>
    </xf>
    <xf numFmtId="0" fontId="14" fillId="4" borderId="6" xfId="0" applyFont="1" applyFill="1" applyBorder="1" applyAlignment="1">
      <alignment horizontal="left"/>
    </xf>
    <xf numFmtId="0" fontId="4" fillId="4" borderId="7" xfId="0" applyFont="1" applyFill="1" applyBorder="1"/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" fillId="0" borderId="0" xfId="0" applyFont="1"/>
    <xf numFmtId="0" fontId="22" fillId="0" borderId="0" xfId="0" applyFont="1" applyAlignment="1" applyProtection="1">
      <alignment horizontal="center"/>
      <protection locked="0"/>
    </xf>
    <xf numFmtId="0" fontId="20" fillId="0" borderId="10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18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4" fillId="4" borderId="10" xfId="0" applyFont="1" applyFill="1" applyBorder="1"/>
    <xf numFmtId="0" fontId="4" fillId="4" borderId="0" xfId="0" applyFont="1" applyFill="1" applyAlignment="1">
      <alignment horizontal="right"/>
    </xf>
    <xf numFmtId="0" fontId="4" fillId="4" borderId="11" xfId="0" applyFont="1" applyFill="1" applyBorder="1"/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17" fillId="4" borderId="0" xfId="0" applyFont="1" applyFill="1" applyAlignment="1" applyProtection="1">
      <alignment horizontal="left"/>
      <protection locked="0"/>
    </xf>
    <xf numFmtId="0" fontId="13" fillId="3" borderId="0" xfId="0" applyFont="1" applyFill="1" applyAlignment="1">
      <alignment horizontal="right"/>
    </xf>
    <xf numFmtId="0" fontId="19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3" fillId="0" borderId="11" xfId="0" applyFont="1" applyBorder="1" applyAlignment="1">
      <alignment horizontal="left" vertical="center"/>
    </xf>
    <xf numFmtId="2" fontId="4" fillId="4" borderId="0" xfId="0" applyNumberFormat="1" applyFont="1" applyFill="1"/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0" fillId="0" borderId="16" xfId="0" applyFont="1" applyBorder="1" applyAlignment="1">
      <alignment horizontal="left" vertical="center"/>
    </xf>
    <xf numFmtId="0" fontId="21" fillId="0" borderId="4" xfId="0" applyFont="1" applyBorder="1" applyAlignment="1">
      <alignment vertical="center"/>
    </xf>
    <xf numFmtId="0" fontId="18" fillId="0" borderId="4" xfId="0" applyFont="1" applyBorder="1" applyAlignment="1" applyProtection="1">
      <alignment vertical="center"/>
      <protection locked="0"/>
    </xf>
    <xf numFmtId="0" fontId="1" fillId="0" borderId="4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20" fillId="0" borderId="4" xfId="0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4" fillId="4" borderId="0" xfId="0" applyFont="1" applyFill="1" applyAlignment="1">
      <alignment horizontal="left"/>
    </xf>
    <xf numFmtId="0" fontId="14" fillId="4" borderId="0" xfId="0" applyFont="1" applyFill="1" applyAlignment="1">
      <alignment horizontal="right"/>
    </xf>
    <xf numFmtId="0" fontId="4" fillId="3" borderId="0" xfId="0" applyFont="1" applyFill="1"/>
    <xf numFmtId="0" fontId="23" fillId="0" borderId="0" xfId="0" applyFont="1" applyAlignment="1">
      <alignment horizontal="right"/>
    </xf>
    <xf numFmtId="0" fontId="25" fillId="5" borderId="18" xfId="0" applyFont="1" applyFill="1" applyBorder="1" applyAlignment="1">
      <alignment horizontal="right" vertical="center"/>
    </xf>
    <xf numFmtId="0" fontId="26" fillId="5" borderId="19" xfId="0" applyFont="1" applyFill="1" applyBorder="1" applyAlignment="1">
      <alignment horizontal="right" vertical="center"/>
    </xf>
    <xf numFmtId="0" fontId="26" fillId="5" borderId="19" xfId="0" applyFont="1" applyFill="1" applyBorder="1" applyAlignment="1">
      <alignment horizontal="centerContinuous" vertical="center"/>
    </xf>
    <xf numFmtId="0" fontId="27" fillId="0" borderId="20" xfId="0" applyFont="1" applyBorder="1" applyAlignment="1">
      <alignment horizontal="centerContinuous" vertical="center"/>
    </xf>
    <xf numFmtId="0" fontId="28" fillId="6" borderId="21" xfId="0" applyFont="1" applyFill="1" applyBorder="1" applyAlignment="1">
      <alignment horizontal="center"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Continuous" vertical="center"/>
    </xf>
    <xf numFmtId="0" fontId="27" fillId="0" borderId="22" xfId="0" applyFont="1" applyBorder="1" applyAlignment="1">
      <alignment horizontal="centerContinuous" vertical="center"/>
    </xf>
    <xf numFmtId="0" fontId="27" fillId="0" borderId="23" xfId="0" applyFont="1" applyBorder="1" applyAlignment="1">
      <alignment horizontal="centerContinuous" vertical="center"/>
    </xf>
    <xf numFmtId="0" fontId="4" fillId="4" borderId="24" xfId="0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18" fillId="3" borderId="26" xfId="0" applyFont="1" applyFill="1" applyBorder="1" applyAlignment="1">
      <alignment horizontal="right"/>
    </xf>
    <xf numFmtId="0" fontId="23" fillId="0" borderId="26" xfId="0" applyFont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19" fillId="0" borderId="0" xfId="0" applyFont="1" applyAlignment="1">
      <alignment horizontal="right"/>
    </xf>
    <xf numFmtId="0" fontId="29" fillId="2" borderId="0" xfId="0" applyFont="1" applyFill="1" applyAlignment="1">
      <alignment horizontal="left"/>
    </xf>
    <xf numFmtId="49" fontId="23" fillId="0" borderId="0" xfId="0" applyNumberFormat="1" applyFont="1" applyAlignment="1">
      <alignment horizontal="right"/>
    </xf>
    <xf numFmtId="0" fontId="4" fillId="4" borderId="16" xfId="0" applyFont="1" applyFill="1" applyBorder="1"/>
    <xf numFmtId="0" fontId="4" fillId="4" borderId="4" xfId="0" applyFont="1" applyFill="1" applyBorder="1"/>
    <xf numFmtId="0" fontId="4" fillId="4" borderId="4" xfId="0" applyFont="1" applyFill="1" applyBorder="1" applyAlignment="1">
      <alignment horizontal="right"/>
    </xf>
    <xf numFmtId="0" fontId="4" fillId="4" borderId="17" xfId="0" applyFont="1" applyFill="1" applyBorder="1"/>
    <xf numFmtId="0" fontId="1" fillId="0" borderId="0" xfId="0" applyFont="1" applyAlignment="1">
      <alignment horizontal="left"/>
    </xf>
    <xf numFmtId="0" fontId="13" fillId="3" borderId="4" xfId="0" applyFont="1" applyFill="1" applyBorder="1" applyAlignment="1" applyProtection="1">
      <alignment horizontal="right"/>
      <protection locked="0"/>
    </xf>
    <xf numFmtId="0" fontId="19" fillId="0" borderId="4" xfId="0" applyFont="1" applyBorder="1" applyAlignment="1">
      <alignment horizontal="right"/>
    </xf>
    <xf numFmtId="1" fontId="4" fillId="4" borderId="0" xfId="0" applyNumberFormat="1" applyFont="1" applyFill="1"/>
    <xf numFmtId="0" fontId="18" fillId="3" borderId="0" xfId="0" applyFont="1" applyFill="1" applyAlignment="1">
      <alignment horizontal="left"/>
    </xf>
    <xf numFmtId="2" fontId="23" fillId="0" borderId="0" xfId="0" applyNumberFormat="1" applyFont="1" applyAlignment="1">
      <alignment horizontal="right"/>
    </xf>
    <xf numFmtId="0" fontId="18" fillId="3" borderId="0" xfId="0" applyFont="1" applyFill="1" applyAlignment="1">
      <alignment horizontal="center"/>
    </xf>
    <xf numFmtId="0" fontId="23" fillId="0" borderId="0" xfId="0" applyFont="1"/>
    <xf numFmtId="0" fontId="28" fillId="6" borderId="27" xfId="0" applyFont="1" applyFill="1" applyBorder="1" applyAlignment="1">
      <alignment horizontal="center" vertical="center"/>
    </xf>
    <xf numFmtId="0" fontId="23" fillId="0" borderId="28" xfId="0" applyFont="1" applyBorder="1" applyAlignment="1">
      <alignment horizontal="centerContinuous" vertical="center"/>
    </xf>
    <xf numFmtId="0" fontId="27" fillId="0" borderId="28" xfId="0" applyFont="1" applyBorder="1" applyAlignment="1">
      <alignment horizontal="centerContinuous" vertical="center"/>
    </xf>
    <xf numFmtId="0" fontId="30" fillId="0" borderId="5" xfId="0" applyFont="1" applyBorder="1" applyAlignment="1">
      <alignment horizontal="right" vertical="center"/>
    </xf>
    <xf numFmtId="0" fontId="21" fillId="0" borderId="6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30" fillId="0" borderId="6" xfId="0" applyFont="1" applyBorder="1" applyAlignment="1">
      <alignment horizontal="right" vertical="center"/>
    </xf>
    <xf numFmtId="0" fontId="21" fillId="0" borderId="7" xfId="0" applyFont="1" applyBorder="1" applyAlignment="1">
      <alignment horizontal="center" vertical="center"/>
    </xf>
    <xf numFmtId="0" fontId="30" fillId="0" borderId="10" xfId="0" applyFont="1" applyBorder="1" applyAlignment="1">
      <alignment horizontal="right" vertical="center"/>
    </xf>
    <xf numFmtId="0" fontId="23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2" fontId="21" fillId="0" borderId="0" xfId="0" applyNumberFormat="1" applyFont="1" applyAlignment="1">
      <alignment vertical="center"/>
    </xf>
    <xf numFmtId="2" fontId="23" fillId="0" borderId="0" xfId="0" applyNumberFormat="1" applyFont="1" applyAlignment="1">
      <alignment vertical="center"/>
    </xf>
    <xf numFmtId="2" fontId="30" fillId="0" borderId="0" xfId="0" applyNumberFormat="1" applyFont="1" applyAlignment="1">
      <alignment horizontal="right" vertical="center"/>
    </xf>
    <xf numFmtId="2" fontId="31" fillId="7" borderId="0" xfId="0" applyNumberFormat="1" applyFont="1" applyFill="1" applyAlignment="1">
      <alignment vertical="center"/>
    </xf>
    <xf numFmtId="2" fontId="21" fillId="0" borderId="11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3" fillId="0" borderId="11" xfId="0" applyFont="1" applyBorder="1" applyAlignment="1">
      <alignment vertical="center"/>
    </xf>
    <xf numFmtId="0" fontId="30" fillId="0" borderId="10" xfId="0" applyFont="1" applyBorder="1" applyAlignment="1">
      <alignment horizontal="left" vertical="center"/>
    </xf>
    <xf numFmtId="0" fontId="23" fillId="0" borderId="0" xfId="0" applyFont="1" applyAlignment="1">
      <alignment horizontal="right" vertical="center"/>
    </xf>
    <xf numFmtId="10" fontId="21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2" fontId="21" fillId="0" borderId="0" xfId="0" applyNumberFormat="1" applyFont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right" vertical="center"/>
    </xf>
    <xf numFmtId="0" fontId="21" fillId="0" borderId="4" xfId="0" applyFont="1" applyBorder="1" applyAlignment="1">
      <alignment horizontal="right" vertical="center"/>
    </xf>
    <xf numFmtId="0" fontId="23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23" fillId="0" borderId="17" xfId="0" applyFont="1" applyBorder="1" applyAlignment="1">
      <alignment vertic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33" fillId="0" borderId="10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16" xfId="0" applyFont="1" applyBorder="1"/>
    <xf numFmtId="0" fontId="4" fillId="0" borderId="4" xfId="0" applyFont="1" applyBorder="1"/>
    <xf numFmtId="0" fontId="4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L451"/>
  <sheetViews>
    <sheetView workbookViewId="0" showGridLines="0" zoomScale="70" zoomScaleNormal="70">
      <selection activeCell="O24" sqref="O24"/>
    </sheetView>
  </sheetViews>
  <sheetFormatPr defaultRowHeight="15.5" outlineLevelRow="0" outlineLevelCol="0" x14ac:dyDescent="0" defaultColWidth="5.58203125" customHeight="1"/>
  <cols>
    <col min="1" max="1" width="10.58203125" customWidth="1"/>
    <col min="2" max="2" width="12.25" customWidth="1"/>
    <col min="3" max="3" width="12" customWidth="1"/>
    <col min="4" max="4" width="8.58203125" customWidth="1"/>
    <col min="5" max="5" width="13.58203125" customWidth="1"/>
    <col min="6" max="8" width="9.58203125" customWidth="1"/>
    <col min="9" max="9" width="12.58203125" customWidth="1"/>
    <col min="10" max="11" width="9.58203125" customWidth="1"/>
    <col min="12" max="12" width="13.33203125" customWidth="1"/>
    <col min="13" max="16" width="9.58203125" customWidth="1"/>
    <col min="17" max="17" width="5.58203125" customWidth="1"/>
    <col min="18" max="18" width="5.75" customWidth="1"/>
    <col min="19" max="19" width="14.25" customWidth="1"/>
    <col min="20" max="20" width="9.5" customWidth="1"/>
    <col min="21" max="21" width="5.75" customWidth="1"/>
    <col min="22" max="22" width="10" customWidth="1"/>
    <col min="23" max="23" width="9.5" customWidth="1"/>
    <col min="24" max="24" width="5.75" customWidth="1"/>
    <col min="25" max="25" width="11.25" customWidth="1"/>
    <col min="26" max="26" width="5.75" customWidth="1"/>
    <col min="27" max="27" width="6.08203125" customWidth="1"/>
    <col min="28" max="32" width="5.75" customWidth="1"/>
    <col min="33" max="42" width="5.58203125" customWidth="1"/>
    <col min="43" max="43" width="3.58203125" customWidth="1"/>
    <col min="44" max="44" width="1.58203125" customWidth="1"/>
    <col min="45" max="45" width="3.58203125" customWidth="1"/>
    <col min="46" max="46" width="5.58203125" customWidth="1"/>
    <col min="47" max="60" width="9.58203125" customWidth="1"/>
    <col min="61" max="64" width="5.58203125" customWidth="1"/>
  </cols>
  <sheetData>
    <row r="1" spans="1:64" x14ac:dyDescent="0.25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/>
      <c r="BJ1" s="5"/>
      <c r="BK1" s="5"/>
      <c r="BL1" s="5"/>
    </row>
    <row r="2" ht="16" customHeight="1" spans="1:64" x14ac:dyDescent="0.25">
      <c r="A2" s="6"/>
      <c r="B2" s="7"/>
      <c r="C2" s="6"/>
      <c r="D2" s="2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5"/>
      <c r="BJ2" s="5"/>
      <c r="BK2" s="5"/>
      <c r="BL2" s="5"/>
    </row>
    <row r="3" spans="1:64" x14ac:dyDescent="0.25">
      <c r="A3" s="6"/>
      <c r="B3" s="6"/>
      <c r="C3" s="6"/>
      <c r="D3" s="8"/>
      <c r="E3" s="6"/>
      <c r="F3" s="3"/>
      <c r="G3" s="3"/>
      <c r="H3" s="3"/>
      <c r="I3" s="3"/>
      <c r="J3" s="3"/>
      <c r="K3" s="3"/>
      <c r="L3" s="6" t="s">
        <v>0</v>
      </c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5"/>
      <c r="BJ3" s="5"/>
      <c r="BK3" s="5"/>
      <c r="BL3" s="5"/>
    </row>
    <row r="4" spans="1:64" x14ac:dyDescent="0.25">
      <c r="A4" s="1"/>
      <c r="B4" s="9"/>
      <c r="C4" s="1"/>
      <c r="D4" s="1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5"/>
      <c r="BJ4" s="5"/>
      <c r="BK4" s="5"/>
      <c r="BL4" s="5"/>
    </row>
    <row r="5" ht="24.5" customHeight="1" spans="1:64" x14ac:dyDescent="0.25">
      <c r="A5" s="1"/>
      <c r="B5" s="11" t="s">
        <v>1</v>
      </c>
      <c r="C5" s="1"/>
      <c r="D5" s="1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  <c r="BJ5" s="5"/>
      <c r="BK5" s="5"/>
      <c r="BL5" s="5"/>
    </row>
    <row r="6" ht="57.75" customHeight="1" spans="1:64" x14ac:dyDescent="0.25">
      <c r="A6" s="4"/>
      <c r="B6" s="12" t="s">
        <v>2</v>
      </c>
      <c r="C6" s="13"/>
      <c r="D6" s="2"/>
      <c r="E6" s="14"/>
      <c r="F6" s="15" t="s">
        <v>3</v>
      </c>
      <c r="G6" s="15"/>
      <c r="H6" s="15"/>
      <c r="I6" s="15"/>
      <c r="J6" s="15"/>
      <c r="K6" s="15"/>
      <c r="L6" s="15"/>
      <c r="M6" s="15"/>
      <c r="N6" s="16"/>
      <c r="O6" s="3"/>
      <c r="P6" s="3"/>
      <c r="Q6" s="3"/>
      <c r="R6" s="17" t="s">
        <v>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5"/>
      <c r="BJ6" s="5"/>
      <c r="BK6" s="5"/>
      <c r="BL6" s="5"/>
    </row>
    <row r="7" ht="28.5" customHeight="1" spans="1:64" x14ac:dyDescent="0.25">
      <c r="A7" s="18" t="s">
        <v>5</v>
      </c>
      <c r="B7" s="19"/>
      <c r="C7" s="20"/>
      <c r="D7" s="2"/>
      <c r="E7" s="21" t="s">
        <v>6</v>
      </c>
      <c r="F7" s="22">
        <f>B7</f>
      </c>
      <c r="G7" s="23"/>
      <c r="H7" s="23"/>
      <c r="I7" s="23"/>
      <c r="J7" s="23"/>
      <c r="K7" s="23"/>
      <c r="L7" s="23"/>
      <c r="M7" s="23"/>
      <c r="N7" s="23"/>
      <c r="O7" s="3"/>
      <c r="P7" s="3"/>
      <c r="Q7" s="3"/>
      <c r="R7" s="24" t="s">
        <v>7</v>
      </c>
      <c r="S7" s="25"/>
      <c r="T7" s="25"/>
      <c r="U7" s="25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7"/>
      <c r="AG7" s="26"/>
      <c r="AH7" s="26"/>
      <c r="AI7" s="28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5"/>
      <c r="BJ7" s="5"/>
      <c r="BK7" s="5"/>
      <c r="BL7" s="5"/>
    </row>
    <row r="8" ht="22.5" customHeight="1" spans="1:64" x14ac:dyDescent="0.25">
      <c r="A8" s="29" t="s">
        <v>8</v>
      </c>
      <c r="B8" s="30"/>
      <c r="C8" s="31"/>
      <c r="D8" s="2"/>
      <c r="E8" s="32" t="s">
        <v>9</v>
      </c>
      <c r="F8" s="33" t="str">
        <f>IF(ISBLANK(B8)," ",B8)</f>
        <v> </v>
      </c>
      <c r="G8" s="34"/>
      <c r="H8" s="34"/>
      <c r="I8" s="35" t="s">
        <v>10</v>
      </c>
      <c r="J8" s="36">
        <f>IF(ISBLANK($B13)," ",$B13)</f>
        <v>7</v>
      </c>
      <c r="K8" s="37" t="str">
        <f>IF(B12=3,"MAX"," ")</f>
        <v> </v>
      </c>
      <c r="L8" s="38" t="s">
        <v>11</v>
      </c>
      <c r="M8" s="39" t="str">
        <f>IF(ISBLANK($B15)," ",$B15)</f>
        <v> </v>
      </c>
      <c r="N8" s="40"/>
      <c r="O8" s="41"/>
      <c r="P8" s="41"/>
      <c r="Q8" s="2"/>
      <c r="R8" s="42"/>
      <c r="S8" s="43"/>
      <c r="T8" s="43"/>
      <c r="U8" s="44" t="s">
        <v>12</v>
      </c>
      <c r="V8" s="43">
        <f>L33+X8/2</f>
        <v>7.3549999999999995</v>
      </c>
      <c r="W8" s="45" t="s">
        <v>13</v>
      </c>
      <c r="X8" s="43">
        <f>M10</f>
        <v>0.01</v>
      </c>
      <c r="Y8" s="43"/>
      <c r="Z8" s="43"/>
      <c r="AA8" s="43"/>
      <c r="AB8" s="43"/>
      <c r="AC8" s="43"/>
      <c r="AD8" s="46"/>
      <c r="AE8" s="26"/>
      <c r="AF8" s="47">
        <f>COUNTA(F12:J12)</f>
        <v>5</v>
      </c>
      <c r="AG8" s="48">
        <f>VLOOKUP(AF8,AF10:AG13,2)</f>
        <v>2.326</v>
      </c>
      <c r="AH8" s="26"/>
      <c r="AI8" s="26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9"/>
      <c r="BJ8" s="49"/>
      <c r="BK8" s="49"/>
      <c r="BL8" s="49"/>
    </row>
    <row r="9" ht="22.5" customHeight="1" spans="1:64" x14ac:dyDescent="0.25">
      <c r="A9" s="29" t="s">
        <v>14</v>
      </c>
      <c r="B9" s="50"/>
      <c r="C9" s="1"/>
      <c r="D9" s="2"/>
      <c r="E9" s="51" t="s">
        <v>15</v>
      </c>
      <c r="F9" s="52" t="str">
        <f>IF(ISBLANK(B9)," ",B9)</f>
        <v> </v>
      </c>
      <c r="G9" s="53"/>
      <c r="H9" s="54"/>
      <c r="I9" s="55" t="s">
        <v>16</v>
      </c>
      <c r="J9" s="52">
        <f>IF(ISBLANK(B14)," ",B14)</f>
        <v>7.4</v>
      </c>
      <c r="K9" s="54" t="str">
        <f>IF(B12=4,"MIN"," ")</f>
        <v> </v>
      </c>
      <c r="L9" s="56" t="s">
        <v>17</v>
      </c>
      <c r="M9" s="57" t="str">
        <f>IF(ISBLANK($B16)," ",$B16)</f>
        <v>2006. 8.19</v>
      </c>
      <c r="N9" s="58"/>
      <c r="O9" s="41"/>
      <c r="P9" s="41"/>
      <c r="Q9" s="2"/>
      <c r="R9" s="59"/>
      <c r="S9" s="26"/>
      <c r="T9" s="26"/>
      <c r="U9" s="60" t="s">
        <v>18</v>
      </c>
      <c r="V9" s="26">
        <f>J38</f>
        <v>7.328967927772995</v>
      </c>
      <c r="W9" s="27" t="s">
        <v>19</v>
      </c>
      <c r="X9" s="26">
        <f>L33-M11</f>
        <v>7.35</v>
      </c>
      <c r="Y9" s="26"/>
      <c r="Z9" s="26"/>
      <c r="AA9" s="26"/>
      <c r="AB9" s="26"/>
      <c r="AC9" s="26"/>
      <c r="AD9" s="61"/>
      <c r="AE9" s="26"/>
      <c r="AF9" s="62" t="s">
        <v>20</v>
      </c>
      <c r="AG9" s="63" t="s">
        <v>21</v>
      </c>
      <c r="AH9" s="26"/>
      <c r="AI9" s="6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9"/>
      <c r="BJ9" s="49"/>
      <c r="BK9" s="49"/>
      <c r="BL9" s="49"/>
    </row>
    <row r="10" ht="22.5" customHeight="1" spans="1:64" x14ac:dyDescent="0.25">
      <c r="A10" s="65" t="s">
        <v>22</v>
      </c>
      <c r="B10" s="66"/>
      <c r="C10" s="31"/>
      <c r="D10" s="2"/>
      <c r="E10" s="51" t="s">
        <v>23</v>
      </c>
      <c r="F10" s="52" t="str">
        <f>IF(ISBLANK(B10)," ",B10)</f>
        <v> </v>
      </c>
      <c r="G10" s="53"/>
      <c r="H10" s="54"/>
      <c r="I10" s="55" t="s">
        <v>24</v>
      </c>
      <c r="J10" s="52">
        <f>ABS(+J8-J9)</f>
        <v>0.40000000000000036</v>
      </c>
      <c r="K10" s="67"/>
      <c r="L10" s="56" t="s">
        <v>25</v>
      </c>
      <c r="M10" s="57">
        <f>IF(ISBLANK($B17)," ",$B17)</f>
        <v>0.01</v>
      </c>
      <c r="N10" s="68" t="str">
        <f>IF(ISBLANK($C17)," ",$C17)</f>
        <v>mm</v>
      </c>
      <c r="O10" s="2"/>
      <c r="P10" s="2"/>
      <c r="Q10" s="2"/>
      <c r="R10" s="59"/>
      <c r="S10" s="26"/>
      <c r="T10" s="26"/>
      <c r="U10" s="60" t="s">
        <v>26</v>
      </c>
      <c r="V10" s="69">
        <f>J8</f>
        <v>7</v>
      </c>
      <c r="W10" s="27" t="s">
        <v>27</v>
      </c>
      <c r="X10" s="26">
        <f>I33-M11</f>
        <v>7.2</v>
      </c>
      <c r="Y10" s="26"/>
      <c r="Z10" s="26">
        <f>(SQRT(N33)+(LOG(N33)*3.3+1))/2</f>
        <v>8.8</v>
      </c>
      <c r="AA10" s="26"/>
      <c r="AB10" s="26"/>
      <c r="AC10" s="26"/>
      <c r="AD10" s="61"/>
      <c r="AE10" s="26"/>
      <c r="AF10" s="70">
        <v>2</v>
      </c>
      <c r="AG10" s="71">
        <v>1.128</v>
      </c>
      <c r="AH10" s="26"/>
      <c r="AI10" s="26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9"/>
      <c r="BJ10" s="49"/>
      <c r="BK10" s="49"/>
      <c r="BL10" s="49"/>
    </row>
    <row r="11" ht="22.5" customHeight="1" spans="1:64" x14ac:dyDescent="0.25">
      <c r="A11" s="65" t="s">
        <v>28</v>
      </c>
      <c r="B11" s="66">
        <v>1</v>
      </c>
      <c r="C11" s="31"/>
      <c r="D11" s="2"/>
      <c r="E11" s="72" t="s">
        <v>29</v>
      </c>
      <c r="F11" s="73">
        <f>IF(ISBLANK(B11)," ",B11)</f>
        <v>1</v>
      </c>
      <c r="G11" s="74"/>
      <c r="H11" s="75"/>
      <c r="I11" s="76" t="s">
        <v>30</v>
      </c>
      <c r="J11" s="73">
        <f>(J8+J9)/2</f>
        <v>7.2</v>
      </c>
      <c r="K11" s="77"/>
      <c r="L11" s="78" t="s">
        <v>31</v>
      </c>
      <c r="M11" s="79" t="str">
        <f>IF(ISBLANK($B18)," ",$B18)</f>
        <v>V/C</v>
      </c>
      <c r="N11" s="80"/>
      <c r="O11" s="2"/>
      <c r="P11" s="2"/>
      <c r="Q11" s="2"/>
      <c r="R11" s="59"/>
      <c r="S11" s="26"/>
      <c r="T11" s="26"/>
      <c r="U11" s="60" t="s">
        <v>32</v>
      </c>
      <c r="V11" s="26">
        <f>TRUNC(I33-X8/2,10)</f>
        <v>7.195</v>
      </c>
      <c r="W11" s="81" t="s">
        <v>33</v>
      </c>
      <c r="X11" s="26">
        <f>((X9-X10)/X8)+1</f>
        <v>15.999999999999947</v>
      </c>
      <c r="Y11" s="82" t="s">
        <v>34</v>
      </c>
      <c r="Z11" s="26">
        <f>TRUNC(Z10)</f>
        <v>8</v>
      </c>
      <c r="AA11" s="26"/>
      <c r="AB11" s="26"/>
      <c r="AC11" s="26"/>
      <c r="AD11" s="61"/>
      <c r="AE11" s="26"/>
      <c r="AF11" s="70">
        <v>3</v>
      </c>
      <c r="AG11" s="71">
        <v>1.693</v>
      </c>
      <c r="AH11" s="26"/>
      <c r="AI11" s="27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9"/>
      <c r="BJ11" s="49"/>
      <c r="BK11" s="49"/>
      <c r="BL11" s="49"/>
    </row>
    <row r="12" ht="21.75" customHeight="1" spans="1:64" x14ac:dyDescent="0.25">
      <c r="A12" s="83"/>
      <c r="B12" s="84"/>
      <c r="C12" s="2"/>
      <c r="D12" s="2"/>
      <c r="E12" s="85"/>
      <c r="F12" s="86" t="s">
        <v>35</v>
      </c>
      <c r="G12" s="86" t="s">
        <v>36</v>
      </c>
      <c r="H12" s="86" t="s">
        <v>37</v>
      </c>
      <c r="I12" s="86" t="s">
        <v>38</v>
      </c>
      <c r="J12" s="86" t="s">
        <v>39</v>
      </c>
      <c r="K12" s="87" t="s">
        <v>40</v>
      </c>
      <c r="L12" s="87"/>
      <c r="M12" s="87" t="s">
        <v>41</v>
      </c>
      <c r="N12" s="88"/>
      <c r="O12" s="6"/>
      <c r="P12" s="3"/>
      <c r="Q12" s="3"/>
      <c r="R12" s="59"/>
      <c r="S12" s="26"/>
      <c r="T12" s="26"/>
      <c r="U12" s="60" t="s">
        <v>42</v>
      </c>
      <c r="V12" s="26">
        <f>H38</f>
        <v>7.194832072226994</v>
      </c>
      <c r="W12" s="81" t="s">
        <v>43</v>
      </c>
      <c r="X12" s="26">
        <f>IF(OR(Z12&lt;0.5,(Z12-TRUNC(Z12))&gt;=0.5),TRUNC(Z12)+1,TRUNC(Z12))</f>
        <v>2</v>
      </c>
      <c r="Y12" s="81" t="s">
        <v>43</v>
      </c>
      <c r="Z12" s="26">
        <f>X11/Z11</f>
        <v>1.9999999999999933</v>
      </c>
      <c r="AA12" s="26"/>
      <c r="AB12" s="26"/>
      <c r="AC12" s="26"/>
      <c r="AD12" s="61"/>
      <c r="AE12" s="26"/>
      <c r="AF12" s="70">
        <v>4</v>
      </c>
      <c r="AG12" s="71">
        <v>2.059</v>
      </c>
      <c r="AH12" s="26"/>
      <c r="AI12" s="26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5"/>
      <c r="BJ12" s="5"/>
      <c r="BK12" s="5"/>
      <c r="BL12" s="5"/>
    </row>
    <row r="13" ht="15.75" customHeight="1" spans="1:64" x14ac:dyDescent="0.25">
      <c r="A13" s="29" t="s">
        <v>44</v>
      </c>
      <c r="B13" s="84"/>
      <c r="C13" s="2"/>
      <c r="D13" s="2"/>
      <c r="E13" s="89" t="s">
        <v>45</v>
      </c>
      <c r="F13" s="90">
        <f>IF(ISBLANK(B19)," ",$B$18+B19)</f>
        <v>7.24</v>
      </c>
      <c r="G13" s="90">
        <f>IF(ISBLANK(B20)," ",$B$18+B20)</f>
        <v>7.26</v>
      </c>
      <c r="H13" s="90">
        <f>IF(ISBLANK(B21)," ",$B$18+B21)</f>
        <v>7.35</v>
      </c>
      <c r="I13" s="90">
        <f>IF(ISBLANK(B22)," ",$B$18+B22)</f>
        <v>7.24</v>
      </c>
      <c r="J13" s="90">
        <f>IF(ISBLANK(B23)," ",$B$18+B23)</f>
        <v>7.31</v>
      </c>
      <c r="K13" s="91">
        <f t="shared" ref="K13:K22" si="0">IF($N$33&gt;=5,AVERAGEA(F13:J13)," ")</f>
        <v>7.280000000000001</v>
      </c>
      <c r="L13" s="92"/>
      <c r="M13" s="91">
        <f>IF($N$33&gt;=5,MAXA(F13:J13)-MINA(F13:J13)," ")</f>
        <v>0.10999999999999943</v>
      </c>
      <c r="N13" s="93"/>
      <c r="O13" s="3"/>
      <c r="P13" s="3"/>
      <c r="Q13" s="3"/>
      <c r="R13" s="59"/>
      <c r="S13" s="26"/>
      <c r="T13" s="26"/>
      <c r="U13" s="60" t="s">
        <v>46</v>
      </c>
      <c r="V13" s="26">
        <f>J9</f>
        <v>7.4</v>
      </c>
      <c r="W13" s="81" t="s">
        <v>47</v>
      </c>
      <c r="X13" s="26">
        <f>IF(((X9-X10)/(+X8*X12))&gt;Z11,X8*(X12+1),X8*X12)</f>
        <v>0.02</v>
      </c>
      <c r="Y13" s="26"/>
      <c r="Z13" s="26"/>
      <c r="AA13" s="26"/>
      <c r="AB13" s="26"/>
      <c r="AC13" s="26"/>
      <c r="AD13" s="61"/>
      <c r="AE13" s="26"/>
      <c r="AF13" s="94">
        <v>5</v>
      </c>
      <c r="AG13" s="95">
        <v>2.326</v>
      </c>
      <c r="AH13" s="26"/>
      <c r="AI13" s="26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5"/>
      <c r="BJ13" s="5"/>
      <c r="BK13" s="5"/>
      <c r="BL13" s="5"/>
    </row>
    <row r="14" ht="15.75" customHeight="1" spans="1:64" x14ac:dyDescent="0.25">
      <c r="A14" s="96" t="s">
        <v>48</v>
      </c>
      <c r="B14" s="97"/>
      <c r="C14" s="98"/>
      <c r="D14" s="98"/>
      <c r="E14" s="89" t="s">
        <v>49</v>
      </c>
      <c r="F14" s="90">
        <f>IF(ISBLANK(B24)," ",$B$18+B24)</f>
        <v>7.24</v>
      </c>
      <c r="G14" s="90">
        <f>IF(ISBLANK(B25)," ",$B$18+B25)</f>
        <v>7.21</v>
      </c>
      <c r="H14" s="90">
        <f>IF(ISBLANK(B26)," ",$B$18+B26)</f>
        <v>7.34</v>
      </c>
      <c r="I14" s="90">
        <f>IF(ISBLANK(B27)," ",$B$18+B27)</f>
        <v>7.27</v>
      </c>
      <c r="J14" s="90">
        <f>IF(ISBLANK(B28)," ",$B$18+B28)</f>
        <v>7.26</v>
      </c>
      <c r="K14" s="91">
        <f>K13</f>
        <v>7.264</v>
      </c>
      <c r="L14" s="92"/>
      <c r="M14" s="91">
        <f>IF($N$33&gt;=10,MAXA(F14:J14)-MINA(F14:J14)," ")</f>
        <v>0.1299999999999999</v>
      </c>
      <c r="N14" s="93"/>
      <c r="O14" s="3"/>
      <c r="P14" s="3"/>
      <c r="Q14" s="3"/>
      <c r="R14" s="59"/>
      <c r="S14" s="26"/>
      <c r="T14" s="26"/>
      <c r="U14" s="60" t="s">
        <v>50</v>
      </c>
      <c r="V14" s="26">
        <f>IF(B12=3,MINA(V11:V12),MINA(V11:V13))</f>
        <v>7.194832072226994</v>
      </c>
      <c r="W14" s="26">
        <f>INT((V11-V14)/X13)+1</f>
        <v>1</v>
      </c>
      <c r="X14" s="60">
        <f>(V11-V14)/X13</f>
        <v>0.008396388650311337</v>
      </c>
      <c r="Y14" s="60"/>
      <c r="Z14" s="60"/>
      <c r="AA14" s="60"/>
      <c r="AB14" s="26">
        <f>IF(AND($J$9&gt;=$F$33,$J$9&lt;=($F$33+6*$F$34)),$J$9,$F$33-6*$F$34)</f>
        <v>7.127764144453993</v>
      </c>
      <c r="AC14" s="26"/>
      <c r="AD14" s="61"/>
      <c r="AE14" s="26"/>
      <c r="AF14" s="26"/>
      <c r="AG14" s="26"/>
      <c r="AH14" s="26"/>
      <c r="AI14" s="26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5"/>
      <c r="BJ14" s="5"/>
      <c r="BK14" s="5"/>
      <c r="BL14" s="5"/>
    </row>
    <row r="15" ht="15.75" customHeight="1" spans="1:64" x14ac:dyDescent="0.25">
      <c r="A15" s="29" t="s">
        <v>51</v>
      </c>
      <c r="B15" s="99"/>
      <c r="C15" s="100" t="s">
        <v>52</v>
      </c>
      <c r="D15" s="98"/>
      <c r="E15" s="89" t="s">
        <v>53</v>
      </c>
      <c r="F15" s="90">
        <f>IF(ISBLANK(B29)," ",$B$18+B29)</f>
        <v>7.25</v>
      </c>
      <c r="G15" s="90">
        <f>IF(ISBLANK(B30)," ",$B$18+B30)</f>
        <v>7.28</v>
      </c>
      <c r="H15" s="90">
        <f>IF(ISBLANK(B31)," ",$B$18+B31)</f>
        <v>7.25</v>
      </c>
      <c r="I15" s="90">
        <f>IF(ISBLANK(B32)," ",$B$18+B32)</f>
        <v>7.24</v>
      </c>
      <c r="J15" s="90">
        <f>IF(ISBLANK(B33)," ",$B$18+B33)</f>
        <v>7.28</v>
      </c>
      <c r="K15" s="91">
        <f>K13</f>
        <v>7.260000000000001</v>
      </c>
      <c r="L15" s="92"/>
      <c r="M15" s="91">
        <f>IF($N$33&gt;=15,MAXA(F15:J15)-MINA(F15:J15)," ")</f>
        <v>0.040000000000000036</v>
      </c>
      <c r="N15" s="93"/>
      <c r="O15" s="3"/>
      <c r="P15" s="3"/>
      <c r="Q15" s="3"/>
      <c r="R15" s="59"/>
      <c r="S15" s="26"/>
      <c r="T15" s="26"/>
      <c r="U15" s="60" t="s">
        <v>54</v>
      </c>
      <c r="V15" s="26">
        <f>MAXA(V8:V10)</f>
        <v>7.3549999999999995</v>
      </c>
      <c r="W15" s="26">
        <f>(V15-V14)/X13</f>
        <v>8.008396388650274</v>
      </c>
      <c r="X15" s="60"/>
      <c r="Y15" s="60"/>
      <c r="Z15" s="26"/>
      <c r="AA15" s="60"/>
      <c r="AB15" s="26">
        <f>IF(AND($J$9&gt;=$F$33,$J$9&lt;=($F$33+6*$F$34)),$F$33+6*$F$34,$J$9)</f>
        <v>7.4</v>
      </c>
      <c r="AC15" s="26"/>
      <c r="AD15" s="61"/>
      <c r="AE15" s="26"/>
      <c r="AF15" s="26"/>
      <c r="AG15" s="26"/>
      <c r="AH15" s="26"/>
      <c r="AI15" s="27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5"/>
      <c r="BJ15" s="5"/>
      <c r="BK15" s="5"/>
      <c r="BL15" s="5"/>
    </row>
    <row r="16" ht="15.75" customHeight="1" spans="1:64" x14ac:dyDescent="0.25">
      <c r="A16" s="65" t="s">
        <v>55</v>
      </c>
      <c r="B16" s="101"/>
      <c r="C16" s="9" t="s">
        <v>56</v>
      </c>
      <c r="D16" s="98"/>
      <c r="E16" s="89" t="s">
        <v>57</v>
      </c>
      <c r="F16" s="90">
        <f>IF(ISBLANK(B34)," ",$B$18+B34)</f>
        <v>7.27</v>
      </c>
      <c r="G16" s="90">
        <f>IF(ISBLANK(B35)," ",$B$18+B35)</f>
        <v>7.24</v>
      </c>
      <c r="H16" s="90">
        <f>IF(ISBLANK(B36)," ",$B$18+B36)</f>
        <v>7.28</v>
      </c>
      <c r="I16" s="90">
        <f>IF(ISBLANK(B37)," ",$B$18+B37)</f>
        <v>7.23</v>
      </c>
      <c r="J16" s="90">
        <f>IF(ISBLANK(B38)," ",$B$18+B38)</f>
        <v>7.26</v>
      </c>
      <c r="K16" s="91">
        <f>K13</f>
        <v>7.256</v>
      </c>
      <c r="L16" s="92"/>
      <c r="M16" s="91">
        <f>IF($N$33&gt;=20,MAXA(F16:J16)-MINA(F16:J16)," ")</f>
        <v>0.04999999999999982</v>
      </c>
      <c r="N16" s="93"/>
      <c r="O16" s="3"/>
      <c r="P16" s="3"/>
      <c r="Q16" s="3"/>
      <c r="R16" s="102"/>
      <c r="S16" s="103"/>
      <c r="T16" s="103"/>
      <c r="U16" s="104" t="s">
        <v>58</v>
      </c>
      <c r="V16" s="103">
        <f>(V15-V14)/50</f>
        <v>0.0032033585554601097</v>
      </c>
      <c r="W16" s="103">
        <f>IF(W15&lt;=12,1,IF(AND(12&lt;W15,W15&lt;=24),2,IF(AND(24&lt;W15,W15&lt;=48),3,IF(AND(48&lt;W15,W15&lt;=96),4,5))))</f>
        <v>1</v>
      </c>
      <c r="X16" s="104"/>
      <c r="Y16" s="104"/>
      <c r="Z16" s="103"/>
      <c r="AA16" s="104"/>
      <c r="AB16" s="103">
        <f>(AB15-AB14)/50</f>
        <v>0.005444717110920152</v>
      </c>
      <c r="AC16" s="103"/>
      <c r="AD16" s="105"/>
      <c r="AE16" s="103"/>
      <c r="AF16" s="103"/>
      <c r="AG16" s="103"/>
      <c r="AH16" s="103"/>
      <c r="AI16" s="26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5"/>
      <c r="BJ16" s="5"/>
      <c r="BK16" s="5"/>
      <c r="BL16" s="5"/>
    </row>
    <row r="17" ht="15.75" customHeight="1" spans="1:64" x14ac:dyDescent="0.25">
      <c r="A17" s="65" t="s">
        <v>59</v>
      </c>
      <c r="B17" s="84">
        <v>0.01</v>
      </c>
      <c r="C17" s="106"/>
      <c r="D17" s="98"/>
      <c r="E17" s="89" t="s">
        <v>60</v>
      </c>
      <c r="F17" s="90">
        <f>IF(ISBLANK(B39)," ",$B$18+B39)</f>
        <v>7.24</v>
      </c>
      <c r="G17" s="90">
        <f>IF(ISBLANK(B40)," ",$B$18+B40)</f>
        <v>7.26</v>
      </c>
      <c r="H17" s="90">
        <f>IF(ISBLANK(B41)," ",$B$18+B41)</f>
        <v>7.25</v>
      </c>
      <c r="I17" s="90">
        <f>IF(ISBLANK(B42)," ",$B$18+B42)</f>
        <v>7.26</v>
      </c>
      <c r="J17" s="90">
        <f>IF(ISBLANK(B43)," ",$B$18+B43)</f>
        <v>7.28</v>
      </c>
      <c r="K17" s="91">
        <f>K13</f>
        <v>7.258</v>
      </c>
      <c r="L17" s="92"/>
      <c r="M17" s="91">
        <f>IF($N$33&gt;=25,MAXA(F17:J17)-MINA(F17:J17)," ")</f>
        <v>0.040000000000000036</v>
      </c>
      <c r="N17" s="93"/>
      <c r="O17" s="3"/>
      <c r="P17" s="3"/>
      <c r="Q17" s="3"/>
      <c r="R17" s="59">
        <f>(V19-V18)/4</f>
        <v>0.0012499999999999734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61"/>
      <c r="AE17" s="26"/>
      <c r="AF17" s="26">
        <f>IF(B12=3,0,AF18+ABS(AB18-AB19))</f>
        <v>0.23000000000000043</v>
      </c>
      <c r="AG17" s="26">
        <f>IF(B12=4,0,AG18+ABS(AB18-AB19))</f>
        <v>0.17999999999999972</v>
      </c>
      <c r="AH17" s="26"/>
      <c r="AI17" s="26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5"/>
      <c r="BJ17" s="5"/>
      <c r="BK17" s="5"/>
      <c r="BL17" s="5"/>
    </row>
    <row r="18" ht="15.75" customHeight="1" spans="1:64" x14ac:dyDescent="0.25">
      <c r="A18" s="107" t="s">
        <v>61</v>
      </c>
      <c r="B18" s="108"/>
      <c r="C18" s="98"/>
      <c r="D18" s="98"/>
      <c r="E18" s="89" t="s">
        <v>62</v>
      </c>
      <c r="F18" s="90">
        <f>IF(ISBLANK(B44)," ",$B$18+B44)</f>
        <v>7.26</v>
      </c>
      <c r="G18" s="90">
        <f>IF(ISBLANK(B45)," ",$B$18+B45)</f>
        <v>7.25</v>
      </c>
      <c r="H18" s="90">
        <f>IF(ISBLANK(B46)," ",$B$18+B46)</f>
        <v>7.29</v>
      </c>
      <c r="I18" s="90">
        <f>IF(ISBLANK(B47)," ",$B$18+B47)</f>
        <v>7.27</v>
      </c>
      <c r="J18" s="90">
        <f>IF(ISBLANK(B48)," ",$B$18+B48)</f>
        <v>7.26</v>
      </c>
      <c r="K18" s="91">
        <f>K13</f>
        <v>7.266</v>
      </c>
      <c r="L18" s="92"/>
      <c r="M18" s="91">
        <f>IF($N$33&gt;=30,MAXA(F18:J18)-MINA(F18:J18)," ")</f>
        <v>0.040000000000000036</v>
      </c>
      <c r="N18" s="93"/>
      <c r="O18" s="3"/>
      <c r="P18" s="3"/>
      <c r="Q18" s="3"/>
      <c r="R18" s="59">
        <f>V18</f>
        <v>7.175000000000001</v>
      </c>
      <c r="S18" s="26" t="str">
        <f t="shared" ref="S18:S81" si="1">IF(T18&lt;0," ",T18)</f>
        <v> </v>
      </c>
      <c r="T18" s="26">
        <f t="shared" ref="T18:T81" si="2">(0.39894228/$F$34)*EXP(-((R18-$F$33)^2)/(2*$F$34^2))*(1-0.5*$M$37*((R18-$F$33)/$F$34-(R18-$F$33)^3/(3*$F$34^3)))</f>
        <v>-0.027595494439294776</v>
      </c>
      <c r="U18" s="26">
        <v>0</v>
      </c>
      <c r="V18" s="26">
        <f>V11-W14*X13</f>
        <v>7.175000000000001</v>
      </c>
      <c r="W18" s="26">
        <f t="shared" ref="W18:W66" si="3">(0.39894228/$F$34)*EXP(-((V18-$F$33)^2)/(2*$F$34^2))</f>
        <v>0.009343586796821096</v>
      </c>
      <c r="X18" s="26"/>
      <c r="Y18" s="109" t="str">
        <f t="shared" ref="Y18:Y66" si="4">IF(AND(AB18&lt;0,AA18+$Y$67=2),FIXED(AB18,5),IF(AA18+$Y$67=2,FIXED(AB18,6),IF(AA18+$Y$67=3,FIXED(AB18,5),IF(AA18+$Y$67=4,FIXED(AB18,4),IF(AA18+$Y$67=5,FIXED(AB18,3),IF(AA18+$Y$67=6,FIXED(AB18,2)," "))))))</f>
        <v>7.175000</v>
      </c>
      <c r="Z18" s="26">
        <f t="shared" ref="Z18:Z66" si="5">IF($W$16+AA18=2,SUM(AE18:AE21),IF($W$16+AA18=3,SUM(AE18:AE19),IF($W$16+AA18&gt;=4,AE18,Z17)))</f>
      </c>
      <c r="AA18" s="26">
        <f t="shared" ref="AA18:AA66" si="6">IF(ROUND((AB18-$V$11)/$X$13,4)=ROUND((AB18-$V$11)/$X$13,0),1,-100)</f>
        <v>1</v>
      </c>
      <c r="AB18" s="26">
        <f t="shared" ref="AB18:AB66" si="7">TRUNC(V18,10)</f>
        <v>7.175</v>
      </c>
      <c r="AC18" s="26">
        <f t="shared" ref="AC18:AC66" si="8">AB18-$M$11</f>
        <v>7.175</v>
      </c>
      <c r="AD18" s="61">
        <f t="shared" ref="AD18:AD66" si="9">FREQUENCY($B$19:$B$118,AC18)</f>
      </c>
      <c r="AE18" s="26">
        <f>IF(AD18&gt;0,AD19,AD19-AD18)</f>
      </c>
      <c r="AF18" s="26">
        <f t="shared" ref="AF18:AF66" si="10">IF($B$12=3,0,ABS(AB18-$V$13))</f>
        <v>0.22500000000000053</v>
      </c>
      <c r="AG18" s="26">
        <f t="shared" ref="AG18:AG66" si="11">IF($B$12=4,0,ABS(AB18-$V$10))</f>
        <v>0.17499999999999982</v>
      </c>
      <c r="AH18" s="26">
        <f t="shared" ref="AH18:AH66" si="12">IF(OR(AND(AF18&lt;AF17,AF18&lt;=AF19),AND(AG18&lt;AG17,AG18&lt;=AG19)),1,0)</f>
        <v>1</v>
      </c>
      <c r="AI18" s="26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5"/>
      <c r="BJ18" s="5"/>
      <c r="BK18" s="5"/>
      <c r="BL18" s="5"/>
    </row>
    <row r="19" ht="15.75" customHeight="1" spans="1:64" x14ac:dyDescent="0.25">
      <c r="A19" s="110" t="s">
        <v>63</v>
      </c>
      <c r="B19" s="111">
        <v>7.24</v>
      </c>
      <c r="C19" s="98"/>
      <c r="D19" s="98"/>
      <c r="E19" s="89" t="s">
        <v>64</v>
      </c>
      <c r="F19" s="90">
        <f>IF(ISBLANK(B49)," ",$B$18+B49)</f>
        <v>7.28</v>
      </c>
      <c r="G19" s="90">
        <f>IF(ISBLANK(B50)," ",$B$18+B50)</f>
        <v>7.29</v>
      </c>
      <c r="H19" s="90">
        <f>IF(ISBLANK(B51)," ",$B$18+B51)</f>
        <v>7.25</v>
      </c>
      <c r="I19" s="90">
        <f>IF(ISBLANK(B52)," ",$B$18+B52)</f>
        <v>7.27</v>
      </c>
      <c r="J19" s="90">
        <f>IF(ISBLANK(B53)," ",$B$18+B53)</f>
        <v>7.26</v>
      </c>
      <c r="K19" s="91">
        <f>K13</f>
        <v>7.2700000000000005</v>
      </c>
      <c r="L19" s="92"/>
      <c r="M19" s="91">
        <f>IF($N$33&gt;=35,MAXA(F19:J19)-MINA(F19:J19)," ")</f>
        <v>0.040000000000000036</v>
      </c>
      <c r="N19" s="93"/>
      <c r="O19" s="3"/>
      <c r="P19" s="3"/>
      <c r="Q19" s="3"/>
      <c r="R19" s="59">
        <f t="shared" ref="R19:R82" si="13">R18+$R$17</f>
        <v>7.1762500000000005</v>
      </c>
      <c r="S19" s="26" t="str">
        <f>S18</f>
        <v> </v>
      </c>
      <c r="T19" s="26">
        <f>T18</f>
        <v>-0.03197197878021802</v>
      </c>
      <c r="U19" s="26">
        <v>1</v>
      </c>
      <c r="V19" s="26">
        <f t="shared" ref="V19:V66" si="14">IF($W$16=1,V18+$X$13/4,IF($W$16=2,V18+$X$13/2,IF($W$16=3,V18+$X$13,IF($W$16=4,V18+$X$13*2,V18+$X$13*4))))</f>
        <v>7.180000000000001</v>
      </c>
      <c r="W19" s="26">
        <f>W18</f>
        <v>0.02173764191023215</v>
      </c>
      <c r="X19" s="26"/>
      <c r="Y19" s="26" t="str">
        <f>Y18</f>
        <v> </v>
      </c>
      <c r="Z19" s="26">
        <f>Z18</f>
      </c>
      <c r="AA19" s="26">
        <f>AA18</f>
        <v>-100</v>
      </c>
      <c r="AB19" s="26">
        <f>AB18</f>
        <v>7.18</v>
      </c>
      <c r="AC19" s="26">
        <f>AC18</f>
        <v>7.18</v>
      </c>
      <c r="AD19" s="61">
        <f>AD18</f>
      </c>
      <c r="AE19" s="26">
        <f t="shared" ref="AE19:AE66" si="15">AD20-AD19</f>
      </c>
      <c r="AF19" s="26">
        <f>AF18</f>
        <v>0.22000000000000064</v>
      </c>
      <c r="AG19" s="26">
        <f>AG18</f>
        <v>0.17999999999999972</v>
      </c>
      <c r="AH19" s="26">
        <f>AH18</f>
      </c>
      <c r="AI19" s="26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5"/>
      <c r="BJ19" s="5"/>
      <c r="BK19" s="5"/>
      <c r="BL19" s="5"/>
    </row>
    <row r="20" ht="15.75" customHeight="1" spans="1:64" x14ac:dyDescent="0.25">
      <c r="A20" s="112">
        <v>2</v>
      </c>
      <c r="B20" s="111">
        <v>7.26</v>
      </c>
      <c r="C20" s="2"/>
      <c r="D20" s="2"/>
      <c r="E20" s="89" t="s">
        <v>65</v>
      </c>
      <c r="F20" s="90">
        <f>IF(ISBLANK(B54)," ",$B$18+B54)</f>
        <v>7.21</v>
      </c>
      <c r="G20" s="90">
        <f>IF(ISBLANK(B55)," ",$B$18+B55)</f>
        <v>7.28</v>
      </c>
      <c r="H20" s="90">
        <f>IF(ISBLANK(B56)," ",$B$18+B56)</f>
        <v>7.26</v>
      </c>
      <c r="I20" s="90">
        <f>IF(ISBLANK(B57)," ",$B$18+B57)</f>
        <v>7.27</v>
      </c>
      <c r="J20" s="90">
        <f>IF(ISBLANK(B58)," ",$B$18+B58)</f>
        <v>7.24</v>
      </c>
      <c r="K20" s="91">
        <f>K13</f>
        <v>7.252</v>
      </c>
      <c r="L20" s="92"/>
      <c r="M20" s="91">
        <f>IF($N$33&gt;=40,MAXA(F20:J20)-MINA(F20:J20)," ")</f>
        <v>0.07000000000000028</v>
      </c>
      <c r="N20" s="93"/>
      <c r="O20" s="3"/>
      <c r="P20" s="3"/>
      <c r="Q20" s="3"/>
      <c r="R20" s="59">
        <f>R19</f>
        <v>7.1775</v>
      </c>
      <c r="S20" s="26" t="str">
        <f>S18</f>
        <v> </v>
      </c>
      <c r="T20" s="26">
        <f>T18</f>
        <v>-0.03682745554946339</v>
      </c>
      <c r="U20" s="26">
        <v>2</v>
      </c>
      <c r="V20" s="26">
        <f>V19</f>
        <v>7.1850000000000005</v>
      </c>
      <c r="W20" s="26">
        <f>W18</f>
        <v>0.04810468479055227</v>
      </c>
      <c r="X20" s="26"/>
      <c r="Y20" s="26" t="str">
        <f>Y18</f>
        <v> </v>
      </c>
      <c r="Z20" s="26">
        <f>Z18</f>
      </c>
      <c r="AA20" s="26">
        <f>AA18</f>
        <v>-100</v>
      </c>
      <c r="AB20" s="26">
        <f>AB18</f>
        <v>7.185</v>
      </c>
      <c r="AC20" s="26">
        <f>AC18</f>
        <v>7.185</v>
      </c>
      <c r="AD20" s="61">
        <f>AD18</f>
      </c>
      <c r="AE20" s="26">
        <f>AE19</f>
      </c>
      <c r="AF20" s="26">
        <f>AF18</f>
        <v>0.21500000000000075</v>
      </c>
      <c r="AG20" s="26">
        <f>AG18</f>
        <v>0.1849999999999996</v>
      </c>
      <c r="AH20" s="26">
        <f>AH18</f>
      </c>
      <c r="AI20" s="26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5"/>
      <c r="BJ20" s="5"/>
      <c r="BK20" s="5"/>
      <c r="BL20" s="5"/>
    </row>
    <row r="21" ht="15.75" customHeight="1" spans="1:64" x14ac:dyDescent="0.25">
      <c r="A21" s="112">
        <v>3</v>
      </c>
      <c r="B21" s="111">
        <v>7.35</v>
      </c>
      <c r="C21" s="2"/>
      <c r="D21" s="2"/>
      <c r="E21" s="89" t="s">
        <v>66</v>
      </c>
      <c r="F21" s="90">
        <f>IF(ISBLANK(B59)," ",$B$18+B59)</f>
        <v>7.26</v>
      </c>
      <c r="G21" s="90">
        <f>IF(ISBLANK(B60)," ",$B$18+B60)</f>
        <v>7.25</v>
      </c>
      <c r="H21" s="90">
        <f>IF(ISBLANK(B61)," ",$B$18+B61)</f>
        <v>7.28</v>
      </c>
      <c r="I21" s="90">
        <f>IF(ISBLANK(B62)," ",$B$18+B62)</f>
        <v>7.29</v>
      </c>
      <c r="J21" s="90">
        <f>IF(ISBLANK(B63)," ",$B$18+B63)</f>
        <v>7.27</v>
      </c>
      <c r="K21" s="91">
        <f>K13</f>
        <v>7.269999999999999</v>
      </c>
      <c r="L21" s="92"/>
      <c r="M21" s="91">
        <f>IF($N$33&gt;=45,MAXA(F21:J21)-MINA(F21:J21)," ")</f>
        <v>0.040000000000000036</v>
      </c>
      <c r="N21" s="93"/>
      <c r="O21" s="3"/>
      <c r="P21" s="3"/>
      <c r="Q21" s="3"/>
      <c r="R21" s="59">
        <f>R19</f>
        <v>7.17875</v>
      </c>
      <c r="S21" s="26" t="str">
        <f>S18</f>
        <v> </v>
      </c>
      <c r="T21" s="26">
        <f>T18</f>
        <v>-0.04216233246742879</v>
      </c>
      <c r="U21" s="26">
        <v>3</v>
      </c>
      <c r="V21" s="26">
        <f>V19</f>
        <v>7.19</v>
      </c>
      <c r="W21" s="26">
        <f>W18</f>
        <v>0.10126012364494348</v>
      </c>
      <c r="X21" s="26"/>
      <c r="Y21" s="26" t="str">
        <f>Y18</f>
        <v> </v>
      </c>
      <c r="Z21" s="26">
        <f>Z18</f>
      </c>
      <c r="AA21" s="26">
        <f>AA18</f>
        <v>-100</v>
      </c>
      <c r="AB21" s="26">
        <f>AB18</f>
        <v>7.19</v>
      </c>
      <c r="AC21" s="26">
        <f>AC18</f>
        <v>7.19</v>
      </c>
      <c r="AD21" s="61">
        <f>AD18</f>
      </c>
      <c r="AE21" s="26">
        <f>AE19</f>
      </c>
      <c r="AF21" s="26">
        <f>AF18</f>
        <v>0.20999999999999996</v>
      </c>
      <c r="AG21" s="26">
        <f>AG18</f>
        <v>0.1900000000000004</v>
      </c>
      <c r="AH21" s="26">
        <f>AH18</f>
      </c>
      <c r="AI21" s="26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5"/>
      <c r="BJ21" s="5"/>
      <c r="BK21" s="5"/>
      <c r="BL21" s="5"/>
    </row>
    <row r="22" ht="15.75" customHeight="1" spans="1:64" x14ac:dyDescent="0.25">
      <c r="A22" s="112">
        <v>4</v>
      </c>
      <c r="B22" s="111">
        <v>7.24</v>
      </c>
      <c r="C22" s="2"/>
      <c r="D22" s="2"/>
      <c r="E22" s="89" t="s">
        <v>67</v>
      </c>
      <c r="F22" s="90">
        <f>IF(ISBLANK(B64)," ",$B$18+B64)</f>
        <v>7.24</v>
      </c>
      <c r="G22" s="90">
        <f>IF(ISBLANK(B65)," ",$B$18+B65)</f>
        <v>7.25</v>
      </c>
      <c r="H22" s="90">
        <f>IF(ISBLANK(B66)," ",$B$18+B66)</f>
        <v>7.28</v>
      </c>
      <c r="I22" s="90">
        <f>IF(ISBLANK(B67)," ",$B$18+B67)</f>
        <v>7.25</v>
      </c>
      <c r="J22" s="90">
        <f>IF(ISBLANK(B68)," ",$B$18+B68)</f>
        <v>7.27</v>
      </c>
      <c r="K22" s="91">
        <f>K13</f>
        <v>7.258</v>
      </c>
      <c r="L22" s="92"/>
      <c r="M22" s="91">
        <f>IF($N$33&gt;=50,MAXA(F22:J22)-MINA(F22:J22)," ")</f>
        <v>0.040000000000000036</v>
      </c>
      <c r="N22" s="93"/>
      <c r="O22" s="3"/>
      <c r="P22" s="3"/>
      <c r="Q22" s="3"/>
      <c r="R22" s="59">
        <f>R19</f>
        <v>7.18</v>
      </c>
      <c r="S22" s="26" t="str">
        <f>S18</f>
        <v> </v>
      </c>
      <c r="T22" s="26">
        <f>T18</f>
        <v>-0.0479609299741596</v>
      </c>
      <c r="U22" s="26">
        <v>4</v>
      </c>
      <c r="V22" s="26">
        <f>V19</f>
        <v>7.195</v>
      </c>
      <c r="W22" s="26">
        <f>W18</f>
        <v>0.2027522444657171</v>
      </c>
      <c r="X22" s="26"/>
      <c r="Y22" s="26" t="str">
        <f>Y18</f>
        <v>7.195000</v>
      </c>
      <c r="Z22" s="26">
        <f>Z18</f>
        <v>4</v>
      </c>
      <c r="AA22" s="26">
        <f>AA18</f>
        <v>1</v>
      </c>
      <c r="AB22" s="26">
        <f>AB18</f>
        <v>7.195</v>
      </c>
      <c r="AC22" s="26">
        <f>AC18</f>
        <v>7.195</v>
      </c>
      <c r="AD22" s="61">
        <f>AD18</f>
      </c>
      <c r="AE22" s="26">
        <f>AE19</f>
        <v>1</v>
      </c>
      <c r="AF22" s="26">
        <f>AF18</f>
        <v>0.20500000000000007</v>
      </c>
      <c r="AG22" s="26">
        <f>AG18</f>
        <v>0.19500000000000028</v>
      </c>
      <c r="AH22" s="26">
        <f>AH18</f>
      </c>
      <c r="AI22" s="26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5"/>
      <c r="BJ22" s="5"/>
      <c r="BK22" s="5"/>
      <c r="BL22" s="5"/>
    </row>
    <row r="23" ht="15.75" customHeight="1" spans="1:64" x14ac:dyDescent="0.25">
      <c r="A23" s="112">
        <v>5</v>
      </c>
      <c r="B23" s="111">
        <v>7.31</v>
      </c>
      <c r="C23" s="2"/>
      <c r="D23" s="2"/>
      <c r="E23" s="89" t="s">
        <v>68</v>
      </c>
      <c r="F23" s="90">
        <f>IF(ISBLANK(B69)," ",$B$18+B69)</f>
        <v>7.29</v>
      </c>
      <c r="G23" s="90">
        <f>IF(ISBLANK(B70)," ",$B$18+B70)</f>
        <v>7.28</v>
      </c>
      <c r="H23" s="90">
        <f>IF(ISBLANK(B71)," ",$B$18+B71)</f>
        <v>7.23</v>
      </c>
      <c r="I23" s="90">
        <f>IF(ISBLANK(B72)," ",$B$18+B72)</f>
        <v>7.26</v>
      </c>
      <c r="J23" s="90">
        <f>IF(ISBLANK(B73)," ",$B$18+B73)</f>
        <v>7.27</v>
      </c>
      <c r="K23" s="91">
        <f>IF($N$33&gt;=55,AVERAGEA(F23:J23)," ")</f>
        <v>7.266</v>
      </c>
      <c r="L23" s="92"/>
      <c r="M23" s="91">
        <f>IF($N$33&gt;=55,MAXA(F23:J23)-MINA(F23:J23)," ")</f>
        <v>0.05999999999999961</v>
      </c>
      <c r="N23" s="93"/>
      <c r="O23" s="3"/>
      <c r="P23" s="3"/>
      <c r="Q23" s="3"/>
      <c r="R23" s="59">
        <f>R19</f>
        <v>7.1812499999999995</v>
      </c>
      <c r="S23" s="26" t="str">
        <f>S18</f>
        <v> </v>
      </c>
      <c r="T23" s="26">
        <f>T18</f>
        <v>-0.054186915975119786</v>
      </c>
      <c r="U23" s="26">
        <v>5</v>
      </c>
      <c r="V23" s="26">
        <f>V19</f>
        <v>7.2</v>
      </c>
      <c r="W23" s="26">
        <f>W18</f>
        <v>0.38616154628073546</v>
      </c>
      <c r="X23" s="26"/>
      <c r="Y23" s="26" t="str">
        <f>Y18</f>
        <v> </v>
      </c>
      <c r="Z23" s="26">
        <f>Z18</f>
        <v>4</v>
      </c>
      <c r="AA23" s="26">
        <f>AA18</f>
        <v>-100</v>
      </c>
      <c r="AB23" s="26">
        <f>AB18</f>
        <v>7.2</v>
      </c>
      <c r="AC23" s="26">
        <f>AC18</f>
        <v>7.2</v>
      </c>
      <c r="AD23" s="61">
        <f>AD18</f>
        <v>1</v>
      </c>
      <c r="AE23" s="26">
        <f>AE19</f>
      </c>
      <c r="AF23" s="26">
        <f>AF18</f>
        <v>0.20000000000000018</v>
      </c>
      <c r="AG23" s="26">
        <f>AG18</f>
        <v>0.20000000000000018</v>
      </c>
      <c r="AH23" s="26">
        <f>AH18</f>
      </c>
      <c r="AI23" s="26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5"/>
      <c r="BJ23" s="5"/>
      <c r="BK23" s="5"/>
      <c r="BL23" s="5"/>
    </row>
    <row r="24" ht="15.75" customHeight="1" spans="1:64" x14ac:dyDescent="0.25">
      <c r="A24" s="112">
        <v>6</v>
      </c>
      <c r="B24" s="113">
        <v>7.24</v>
      </c>
      <c r="C24" s="2"/>
      <c r="D24" s="2"/>
      <c r="E24" s="89" t="s">
        <v>69</v>
      </c>
      <c r="F24" s="90">
        <f>IF(ISBLANK(B74)," ",$B$18+B74)</f>
        <v>7.28</v>
      </c>
      <c r="G24" s="90">
        <f>IF(ISBLANK(B75)," ",$B$18+B75)</f>
        <v>7.25</v>
      </c>
      <c r="H24" s="90">
        <f>IF(ISBLANK(B76)," ",$B$18+B76)</f>
        <v>7.27</v>
      </c>
      <c r="I24" s="90">
        <f>IF(ISBLANK(B77)," ",$B$18+B77)</f>
        <v>7.29</v>
      </c>
      <c r="J24" s="90">
        <f>IF(ISBLANK(B78)," ",$B$18+B78)</f>
        <v>7.28</v>
      </c>
      <c r="K24" s="91">
        <f>IF($N$33&gt;=60,AVERAGEA(F24:J24)," ")</f>
        <v>7.273999999999999</v>
      </c>
      <c r="L24" s="92"/>
      <c r="M24" s="91">
        <f>IF($N$33&gt;=60,MAXA(F24:J24)-MINA(F24:J24)," ")</f>
        <v>0.040000000000000036</v>
      </c>
      <c r="N24" s="93"/>
      <c r="O24" s="3"/>
      <c r="P24" s="3"/>
      <c r="Q24" s="3"/>
      <c r="R24" s="59">
        <f>R19</f>
        <v>7.182499999999999</v>
      </c>
      <c r="S24" s="26" t="str">
        <f>S18</f>
        <v> </v>
      </c>
      <c r="T24" s="26">
        <f>T18</f>
        <v>-0.060778058752527134</v>
      </c>
      <c r="U24" s="26">
        <v>6</v>
      </c>
      <c r="V24" s="26">
        <f>V19</f>
        <v>7.205</v>
      </c>
      <c r="W24" s="26">
        <f>W18</f>
        <v>0.6995979306516904</v>
      </c>
      <c r="X24" s="26"/>
      <c r="Y24" s="26" t="str">
        <f>Y18</f>
        <v> </v>
      </c>
      <c r="Z24" s="26">
        <f>Z18</f>
        <v>4</v>
      </c>
      <c r="AA24" s="26">
        <f>AA18</f>
        <v>-100</v>
      </c>
      <c r="AB24" s="26">
        <f>AB18</f>
        <v>7.205</v>
      </c>
      <c r="AC24" s="26">
        <f>AC18</f>
        <v>7.205</v>
      </c>
      <c r="AD24" s="61">
        <f>AD18</f>
        <v>1</v>
      </c>
      <c r="AE24" s="26">
        <f>AE19</f>
        <v>3</v>
      </c>
      <c r="AF24" s="26">
        <f>AF18</f>
        <v>0.19500000000000028</v>
      </c>
      <c r="AG24" s="26">
        <f>AG18</f>
        <v>0.20500000000000007</v>
      </c>
      <c r="AH24" s="26">
        <f>AH18</f>
      </c>
      <c r="AI24" s="26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5"/>
      <c r="BJ24" s="5"/>
      <c r="BK24" s="5"/>
      <c r="BL24" s="5"/>
    </row>
    <row r="25" ht="15.75" customHeight="1" spans="1:64" x14ac:dyDescent="0.25">
      <c r="A25" s="112">
        <v>7</v>
      </c>
      <c r="B25" s="113">
        <v>7.21</v>
      </c>
      <c r="C25" s="2"/>
      <c r="D25" s="2"/>
      <c r="E25" s="89" t="s">
        <v>70</v>
      </c>
      <c r="F25" s="90">
        <f>IF(ISBLANK(B79)," ",$B$18+B79)</f>
        <v>7.26</v>
      </c>
      <c r="G25" s="90">
        <f>IF(ISBLANK(B80)," ",$B$18+B80)</f>
        <v>7.25</v>
      </c>
      <c r="H25" s="90">
        <f>IF(ISBLANK(B81)," ",$B$18+B81)</f>
        <v>7.28</v>
      </c>
      <c r="I25" s="90">
        <f>IF(ISBLANK(B82)," ",$B$18+B82)</f>
        <v>7.27</v>
      </c>
      <c r="J25" s="90">
        <f>IF(ISBLANK(B83)," ",$B$18+B83)</f>
        <v>7.25</v>
      </c>
      <c r="K25" s="91">
        <f>IF($N$33&gt;=65,AVERAGEA(F25:J25)," ")</f>
        <v>7.2620000000000005</v>
      </c>
      <c r="L25" s="92"/>
      <c r="M25" s="91">
        <f>IF($N$33&gt;=65,MAXA(F25:J25)-MINA(F25:J25)," ")</f>
        <v>0.03000000000000025</v>
      </c>
      <c r="N25" s="93"/>
      <c r="O25" s="3"/>
      <c r="P25" s="3"/>
      <c r="Q25" s="3"/>
      <c r="R25" s="59">
        <f>R19</f>
        <v>7.183749999999999</v>
      </c>
      <c r="S25" s="26" t="str">
        <f>S18</f>
        <v> </v>
      </c>
      <c r="T25" s="26">
        <f>T18</f>
        <v>-0.06764027889182408</v>
      </c>
      <c r="U25" s="26">
        <v>7</v>
      </c>
      <c r="V25" s="26">
        <f>V19</f>
        <v>7.21</v>
      </c>
      <c r="W25" s="26">
        <f>W18</f>
        <v>1.2056025132821968</v>
      </c>
      <c r="X25" s="26"/>
      <c r="Y25" s="26" t="str">
        <f>Y18</f>
        <v> </v>
      </c>
      <c r="Z25" s="26">
        <f>Z18</f>
        <v>4</v>
      </c>
      <c r="AA25" s="26">
        <f>AA18</f>
        <v>-100</v>
      </c>
      <c r="AB25" s="26">
        <f>AB18</f>
        <v>7.21</v>
      </c>
      <c r="AC25" s="26">
        <f>AC18</f>
        <v>7.21</v>
      </c>
      <c r="AD25" s="61">
        <f>AD18</f>
        <v>4</v>
      </c>
      <c r="AE25" s="26">
        <f>AE19</f>
      </c>
      <c r="AF25" s="26">
        <f>AF18</f>
        <v>0.1900000000000004</v>
      </c>
      <c r="AG25" s="26">
        <f>AG18</f>
        <v>0.20999999999999996</v>
      </c>
      <c r="AH25" s="26">
        <f>AH18</f>
      </c>
      <c r="AI25" s="26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5"/>
      <c r="BJ25" s="5"/>
      <c r="BK25" s="5"/>
      <c r="BL25" s="5"/>
    </row>
    <row r="26" ht="15.75" customHeight="1" spans="1:64" x14ac:dyDescent="0.25">
      <c r="A26" s="112">
        <v>8</v>
      </c>
      <c r="B26" s="111">
        <v>7.34</v>
      </c>
      <c r="C26" s="2"/>
      <c r="D26" s="2"/>
      <c r="E26" s="89" t="s">
        <v>71</v>
      </c>
      <c r="F26" s="90">
        <f>IF(ISBLANK(B84)," ",$B$18+B84)</f>
        <v>7.28</v>
      </c>
      <c r="G26" s="90">
        <f>IF(ISBLANK(B85)," ",$B$18+B85)</f>
        <v>7.24</v>
      </c>
      <c r="H26" s="90">
        <f>IF(ISBLANK(B86)," ",$B$18+B86)</f>
        <v>7.26</v>
      </c>
      <c r="I26" s="90">
        <f>IF(ISBLANK(B87)," ",$B$18+B87)</f>
        <v>7.23</v>
      </c>
      <c r="J26" s="90">
        <f>IF(ISBLANK(B88)," ",$B$18+B88)</f>
        <v>7.25</v>
      </c>
      <c r="K26" s="91">
        <f>IF($N$33&gt;=70,AVERAGEA(F26:J26)," ")</f>
        <v>7.252000000000001</v>
      </c>
      <c r="L26" s="92"/>
      <c r="M26" s="91">
        <f>IF($N$33&gt;=70,MAXA(F26:J26)-MINA(F26:J26)," ")</f>
        <v>0.04999999999999982</v>
      </c>
      <c r="N26" s="93"/>
      <c r="O26" s="3"/>
      <c r="P26" s="3"/>
      <c r="Q26" s="3"/>
      <c r="R26" s="59">
        <f>R19</f>
        <v>7.184999999999999</v>
      </c>
      <c r="S26" s="26" t="str">
        <f>S18</f>
        <v> </v>
      </c>
      <c r="T26" s="26">
        <f>T18</f>
        <v>-0.0746409988556048</v>
      </c>
      <c r="U26" s="26">
        <v>8</v>
      </c>
      <c r="V26" s="26">
        <f>V19</f>
        <v>7.215</v>
      </c>
      <c r="W26" s="26">
        <f>W18</f>
        <v>1.976222821425127</v>
      </c>
      <c r="X26" s="26"/>
      <c r="Y26" s="26" t="str">
        <f>Y18</f>
        <v>7.215000</v>
      </c>
      <c r="Z26" s="26">
        <f>Z18</f>
        <v>3</v>
      </c>
      <c r="AA26" s="26">
        <f>AA18</f>
        <v>1</v>
      </c>
      <c r="AB26" s="26">
        <f>AB18</f>
        <v>7.215</v>
      </c>
      <c r="AC26" s="26">
        <f>AC18</f>
        <v>7.215</v>
      </c>
      <c r="AD26" s="61">
        <f>AD18</f>
        <v>4</v>
      </c>
      <c r="AE26" s="26">
        <f>AE19</f>
      </c>
      <c r="AF26" s="26">
        <f>AF18</f>
        <v>0.1850000000000005</v>
      </c>
      <c r="AG26" s="26">
        <f>AG18</f>
        <v>0.21499999999999986</v>
      </c>
      <c r="AH26" s="26">
        <f>AH18</f>
      </c>
      <c r="AI26" s="26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5"/>
      <c r="BJ26" s="5"/>
      <c r="BK26" s="5"/>
      <c r="BL26" s="5"/>
    </row>
    <row r="27" ht="15.75" customHeight="1" spans="1:64" x14ac:dyDescent="0.25">
      <c r="A27" s="112"/>
      <c r="B27" s="111"/>
      <c r="C27" s="2"/>
      <c r="D27" s="2"/>
      <c r="E27" s="89" t="s">
        <v>72</v>
      </c>
      <c r="F27" s="90">
        <f>IF(ISBLANK(B89)," ",$B$18+B89)</f>
        <v>7.28</v>
      </c>
      <c r="G27" s="90">
        <f>IF(ISBLANK(B90)," ",$B$18+B90)</f>
        <v>7.24</v>
      </c>
      <c r="H27" s="90">
        <f>IF(ISBLANK(B91)," ",$B$18+B91)</f>
        <v>7.29</v>
      </c>
      <c r="I27" s="90">
        <f>IF(ISBLANK(B92)," ",$B$18+B92)</f>
        <v>7.26</v>
      </c>
      <c r="J27" s="90">
        <f>IF(ISBLANK(B93)," ",$B$18+B93)</f>
        <v>7.28</v>
      </c>
      <c r="K27" s="91">
        <f>IF($N$33&gt;=75,AVERAGEA(F27:J27)," ")</f>
        <v>7.2700000000000005</v>
      </c>
      <c r="L27" s="92"/>
      <c r="M27" s="91">
        <f>IF($N$33&gt;=75,MAXA(F27:J27)-MINA(F27:J27)," ")</f>
        <v>0.04999999999999982</v>
      </c>
      <c r="N27" s="93"/>
      <c r="O27" s="3"/>
      <c r="P27" s="3"/>
      <c r="Q27" s="3"/>
      <c r="R27" s="59">
        <f>R19</f>
        <v>7.1862499999999985</v>
      </c>
      <c r="S27" s="26" t="str">
        <f>S18</f>
        <v> </v>
      </c>
      <c r="T27" s="26">
        <f>T18</f>
        <v>-0.08160181079285958</v>
      </c>
      <c r="U27" s="26"/>
      <c r="V27" s="26">
        <f>V19</f>
        <v>7.22</v>
      </c>
      <c r="W27" s="26">
        <f>W18</f>
        <v>3.0813697365746786</v>
      </c>
      <c r="X27" s="26"/>
      <c r="Y27" s="26" t="str">
        <f>Y18</f>
        <v> </v>
      </c>
      <c r="Z27" s="26">
        <f>Z18</f>
        <v>3</v>
      </c>
      <c r="AA27" s="26">
        <f>AA18</f>
        <v>-100</v>
      </c>
      <c r="AB27" s="26">
        <f>AB18</f>
        <v>7.22</v>
      </c>
      <c r="AC27" s="26">
        <f>AC18</f>
        <v>7.22</v>
      </c>
      <c r="AD27" s="61">
        <f>AD18</f>
        <v>4</v>
      </c>
      <c r="AE27" s="26">
        <f>AE19</f>
      </c>
      <c r="AF27" s="26">
        <f>AF18</f>
        <v>0.1800000000000006</v>
      </c>
      <c r="AG27" s="26">
        <f>AG18</f>
        <v>0.21999999999999975</v>
      </c>
      <c r="AH27" s="26">
        <f>AH18</f>
      </c>
      <c r="AI27" s="26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5"/>
      <c r="BJ27" s="5"/>
      <c r="BK27" s="5"/>
      <c r="BL27" s="5"/>
    </row>
    <row r="28" ht="15.75" customHeight="1" spans="1:64" x14ac:dyDescent="0.25">
      <c r="A28" s="112"/>
      <c r="B28" s="113"/>
      <c r="C28" s="2"/>
      <c r="D28" s="2"/>
      <c r="E28" s="89" t="s">
        <v>73</v>
      </c>
      <c r="F28" s="90">
        <f>IF(ISBLANK(B94)," ",$B$18+B94)</f>
        <v>7.25</v>
      </c>
      <c r="G28" s="90">
        <f>IF(ISBLANK(B95)," ",$B$18+B95)</f>
        <v>7.28</v>
      </c>
      <c r="H28" s="90">
        <f>IF(ISBLANK(B96)," ",$B$18+B96)</f>
        <v>7.24</v>
      </c>
      <c r="I28" s="90">
        <f>IF(ISBLANK(B97)," ",$B$18+B97)</f>
        <v>7.25</v>
      </c>
      <c r="J28" s="90">
        <f>IF(ISBLANK(B98)," ",$B$18+B98)</f>
        <v>7.27</v>
      </c>
      <c r="K28" s="91">
        <f>IF($N$33&gt;=80,AVERAGEA(F28:J28)," ")</f>
        <v>7.258000000000001</v>
      </c>
      <c r="L28" s="92"/>
      <c r="M28" s="91">
        <f>IF($N$33&gt;=80,MAXA(F28:J28)-MINA(F28:J28)," ")</f>
        <v>0.040000000000000036</v>
      </c>
      <c r="N28" s="93"/>
      <c r="O28" s="3"/>
      <c r="P28" s="3"/>
      <c r="Q28" s="3"/>
      <c r="R28" s="59">
        <f>R19</f>
        <v>7.187499999999998</v>
      </c>
      <c r="S28" s="26" t="str">
        <f>S18</f>
        <v> </v>
      </c>
      <c r="T28" s="26">
        <f>T18</f>
        <v>-0.08829050939685204</v>
      </c>
      <c r="U28" s="26"/>
      <c r="V28" s="26">
        <f>V19</f>
        <v>7.225</v>
      </c>
      <c r="W28" s="26">
        <f>W18</f>
        <v>4.570122619019158</v>
      </c>
      <c r="X28" s="26"/>
      <c r="Y28" s="26" t="str">
        <f>Y18</f>
        <v> </v>
      </c>
      <c r="Z28" s="26">
        <f>Z18</f>
        <v>3</v>
      </c>
      <c r="AA28" s="26">
        <f>AA18</f>
        <v>-100</v>
      </c>
      <c r="AB28" s="26">
        <f>AB18</f>
        <v>7.225</v>
      </c>
      <c r="AC28" s="26">
        <f>AC18</f>
        <v>7.225</v>
      </c>
      <c r="AD28" s="61">
        <f>AD18</f>
        <v>4</v>
      </c>
      <c r="AE28" s="26">
        <f>AE19</f>
        <v>3</v>
      </c>
      <c r="AF28" s="26">
        <f>AF18</f>
        <v>0.1750000000000007</v>
      </c>
      <c r="AG28" s="26">
        <f>AG18</f>
        <v>0.22499999999999964</v>
      </c>
      <c r="AH28" s="26">
        <f>AH18</f>
      </c>
      <c r="AI28" s="26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5"/>
      <c r="BJ28" s="5"/>
      <c r="BK28" s="5"/>
      <c r="BL28" s="5"/>
    </row>
    <row r="29" ht="15.75" customHeight="1" spans="1:64" x14ac:dyDescent="0.25">
      <c r="A29" s="112"/>
      <c r="B29" s="111"/>
      <c r="C29" s="2"/>
      <c r="D29" s="2"/>
      <c r="E29" s="89" t="s">
        <v>74</v>
      </c>
      <c r="F29" s="90">
        <f>IF(ISBLANK(B99)," ",$B$18+B99)</f>
        <v>7.24</v>
      </c>
      <c r="G29" s="90">
        <f>IF(ISBLANK(B100)," ",$B$18+B100)</f>
        <v>7.28</v>
      </c>
      <c r="H29" s="90">
        <f>IF(ISBLANK(B101)," ",$B$18+B101)</f>
        <v>7.2</v>
      </c>
      <c r="I29" s="90">
        <f>IF(ISBLANK(B102)," ",$B$18+B102)</f>
        <v>7.27</v>
      </c>
      <c r="J29" s="90">
        <f>IF(ISBLANK(B103)," ",$B$18+B103)</f>
        <v>7.28</v>
      </c>
      <c r="K29" s="91">
        <f>IF($N$33&gt;=85,AVERAGEA(F29:J29)," ")</f>
        <v>7.254</v>
      </c>
      <c r="L29" s="92"/>
      <c r="M29" s="91">
        <f>IF($N$33&gt;=85,MAXA(F29:J29)-MINA(F29:J29)," ")</f>
        <v>0.08000000000000007</v>
      </c>
      <c r="N29" s="93"/>
      <c r="O29" s="3"/>
      <c r="P29" s="3"/>
      <c r="Q29" s="3"/>
      <c r="R29" s="59">
        <f>R19</f>
        <v>7.188749999999998</v>
      </c>
      <c r="S29" s="26" t="str">
        <f>S18</f>
        <v> </v>
      </c>
      <c r="T29" s="26">
        <f>T18</f>
        <v>-0.09441256705897227</v>
      </c>
      <c r="U29" s="26"/>
      <c r="V29" s="26">
        <f>V19</f>
        <v>7.2299999999999995</v>
      </c>
      <c r="W29" s="26">
        <f>W18</f>
        <v>6.447450691100499</v>
      </c>
      <c r="X29" s="26"/>
      <c r="Y29" s="26" t="str">
        <f>Y18</f>
        <v> </v>
      </c>
      <c r="Z29" s="26">
        <f>Z18</f>
        <v>3</v>
      </c>
      <c r="AA29" s="26">
        <f>AA18</f>
        <v>-100</v>
      </c>
      <c r="AB29" s="26">
        <f>AB18</f>
        <v>7.23</v>
      </c>
      <c r="AC29" s="26">
        <f>AC18</f>
        <v>7.23</v>
      </c>
      <c r="AD29" s="61">
        <f>AD18</f>
        <v>7</v>
      </c>
      <c r="AE29" s="26">
        <f>AE19</f>
      </c>
      <c r="AF29" s="26">
        <f>AF18</f>
        <v>0.16999999999999993</v>
      </c>
      <c r="AG29" s="26">
        <f>AG18</f>
        <v>0.23000000000000043</v>
      </c>
      <c r="AH29" s="26">
        <f>AH18</f>
      </c>
      <c r="AI29" s="26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5"/>
      <c r="BJ29" s="5"/>
      <c r="BK29" s="5"/>
      <c r="BL29" s="5"/>
    </row>
    <row r="30" ht="15.75" customHeight="1" spans="1:64" x14ac:dyDescent="0.25">
      <c r="A30" s="112"/>
      <c r="B30" s="113"/>
      <c r="C30" s="2"/>
      <c r="D30" s="2"/>
      <c r="E30" s="89" t="s">
        <v>75</v>
      </c>
      <c r="F30" s="90">
        <f>IF(ISBLANK(B104)," ",$B$18+B104)</f>
        <v>7.25</v>
      </c>
      <c r="G30" s="90">
        <f>IF(ISBLANK(B105)," ",$B$18+B105)</f>
        <v>7.26</v>
      </c>
      <c r="H30" s="90">
        <f>IF(ISBLANK(B106)," ",$B$18+B106)</f>
        <v>7.26</v>
      </c>
      <c r="I30" s="90">
        <f>IF(ISBLANK(B107)," ",$B$18+B107)</f>
        <v>7.24</v>
      </c>
      <c r="J30" s="90">
        <f>IF(ISBLANK(B108)," ",$B$18+B108)</f>
        <v>7.26</v>
      </c>
      <c r="K30" s="91">
        <f>IF($N$33&gt;=90,AVERAGEA(F30:J30)," ")</f>
        <v>7.254</v>
      </c>
      <c r="L30" s="92"/>
      <c r="M30" s="91">
        <f>IF($N$33&gt;=90,MAXA(F30:J30)-MINA(F30:J30)," ")</f>
        <v>0.019999999999999574</v>
      </c>
      <c r="N30" s="93"/>
      <c r="O30" s="3"/>
      <c r="P30" s="3"/>
      <c r="Q30" s="3"/>
      <c r="R30" s="59">
        <f>R19</f>
        <v>7.189999999999998</v>
      </c>
      <c r="S30" s="26" t="str">
        <f>S18</f>
        <v> </v>
      </c>
      <c r="T30" s="26">
        <f>T18</f>
        <v>-0.09960216295677914</v>
      </c>
      <c r="U30" s="26"/>
      <c r="V30" s="26">
        <f>V19</f>
        <v>7.234999999999999</v>
      </c>
      <c r="W30" s="26">
        <f>W18</f>
        <v>8.652156041498133</v>
      </c>
      <c r="X30" s="26"/>
      <c r="Y30" s="26" t="str">
        <f>Y18</f>
        <v>7.235000</v>
      </c>
      <c r="Z30" s="26">
        <f>Z18</f>
        <v>32</v>
      </c>
      <c r="AA30" s="26">
        <f>AA18</f>
        <v>1</v>
      </c>
      <c r="AB30" s="26">
        <f>AB18</f>
        <v>7.235</v>
      </c>
      <c r="AC30" s="26">
        <f>AC18</f>
        <v>7.235</v>
      </c>
      <c r="AD30" s="61">
        <f>AD18</f>
        <v>7</v>
      </c>
      <c r="AE30" s="26">
        <f>AE19</f>
        <v>14</v>
      </c>
      <c r="AF30" s="26">
        <f>AF18</f>
        <v>0.16500000000000004</v>
      </c>
      <c r="AG30" s="26">
        <f>AG18</f>
        <v>0.23500000000000032</v>
      </c>
      <c r="AH30" s="26">
        <f>AH18</f>
      </c>
      <c r="AI30" s="26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5"/>
      <c r="BJ30" s="5"/>
      <c r="BK30" s="5"/>
      <c r="BL30" s="5"/>
    </row>
    <row r="31" ht="15.75" customHeight="1" spans="1:64" x14ac:dyDescent="0.25">
      <c r="A31" s="112"/>
      <c r="B31" s="113"/>
      <c r="C31" s="2"/>
      <c r="D31" s="2"/>
      <c r="E31" s="89" t="s">
        <v>76</v>
      </c>
      <c r="F31" s="90">
        <f>IF(ISBLANK(B109)," ",$B$18+B109)</f>
        <v>7.25</v>
      </c>
      <c r="G31" s="90">
        <f>IF(ISBLANK(B110)," ",$B$18+B110)</f>
        <v>7.28</v>
      </c>
      <c r="H31" s="90">
        <f>IF(ISBLANK(B111)," ",$B$18+B111)</f>
        <v>7.26</v>
      </c>
      <c r="I31" s="90">
        <f>IF(ISBLANK(B112)," ",$B$18+B112)</f>
        <v>7.24</v>
      </c>
      <c r="J31" s="90">
        <f>IF(ISBLANK(B109)," ",$B$18+B109)</f>
        <v>7.25</v>
      </c>
      <c r="K31" s="91">
        <f>IF($N$33&gt;=95,AVERAGEA(F31:J31)," ")</f>
        <v>7.256</v>
      </c>
      <c r="L31" s="92"/>
      <c r="M31" s="91">
        <f>IF($N$33&gt;=95,MAXA(F31:J31)-MINA(F31:J31)," ")</f>
        <v>0.040000000000000036</v>
      </c>
      <c r="N31" s="93"/>
      <c r="O31" s="3"/>
      <c r="P31" s="3"/>
      <c r="Q31" s="3"/>
      <c r="R31" s="59">
        <f>R19</f>
        <v>7.1912499999999975</v>
      </c>
      <c r="S31" s="26" t="str">
        <f>S18</f>
        <v> </v>
      </c>
      <c r="T31" s="26">
        <f>T18</f>
        <v>-0.10341291559045203</v>
      </c>
      <c r="U31" s="26"/>
      <c r="V31" s="26">
        <f>V19</f>
        <v>7.239999999999999</v>
      </c>
      <c r="W31" s="26">
        <f>W18</f>
        <v>11.044264380166798</v>
      </c>
      <c r="X31" s="26"/>
      <c r="Y31" s="26" t="str">
        <f>Y18</f>
        <v> </v>
      </c>
      <c r="Z31" s="26">
        <f>Z18</f>
        <v>32</v>
      </c>
      <c r="AA31" s="26">
        <f>AA18</f>
        <v>-100</v>
      </c>
      <c r="AB31" s="26">
        <f>AB18</f>
        <v>7.24</v>
      </c>
      <c r="AC31" s="26">
        <f>AC18</f>
        <v>7.24</v>
      </c>
      <c r="AD31" s="61">
        <f>AD18</f>
        <v>21</v>
      </c>
      <c r="AE31" s="26">
        <f>AE19</f>
      </c>
      <c r="AF31" s="26">
        <f>AF18</f>
        <v>0.16000000000000014</v>
      </c>
      <c r="AG31" s="26">
        <f>AG18</f>
        <v>0.2400000000000002</v>
      </c>
      <c r="AH31" s="26">
        <f>AH18</f>
      </c>
      <c r="AI31" s="26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5"/>
      <c r="BJ31" s="5"/>
      <c r="BK31" s="5"/>
      <c r="BL31" s="5"/>
    </row>
    <row r="32" ht="15.75" customHeight="1" spans="1:64" x14ac:dyDescent="0.25">
      <c r="A32" s="112"/>
      <c r="B32" s="111"/>
      <c r="C32" s="2"/>
      <c r="D32" s="2"/>
      <c r="E32" s="114" t="s">
        <v>77</v>
      </c>
      <c r="F32" s="90">
        <f>IF(ISBLANK(B114)," ",$B$18+B114)</f>
        <v>7.28</v>
      </c>
      <c r="G32" s="90">
        <f>IF(ISBLANK(B115)," ",$B$18+B115)</f>
        <v>7.25</v>
      </c>
      <c r="H32" s="90">
        <f>IF(ISBLANK(B116)," ",$B$18+B116)</f>
        <v>7.27</v>
      </c>
      <c r="I32" s="90">
        <f>IF(ISBLANK(B117)," ",$B$18+B117)</f>
        <v>7.25</v>
      </c>
      <c r="J32" s="90">
        <f>IF(ISBLANK(B118)," ",$B$18+B118)</f>
        <v>7.28</v>
      </c>
      <c r="K32" s="115">
        <f>IF($N$33&gt;=100,AVERAGEA(F32:J32)," ")</f>
        <v>7.266</v>
      </c>
      <c r="L32" s="116"/>
      <c r="M32" s="91">
        <f>IF($N$33&gt;=100,MAXA(F32:J32)-MINA(F32:J32)," ")</f>
        <v>0.03000000000000025</v>
      </c>
      <c r="N32" s="93"/>
      <c r="O32" s="3"/>
      <c r="P32" s="3"/>
      <c r="Q32" s="3"/>
      <c r="R32" s="59">
        <f>R19</f>
        <v>7.192499999999997</v>
      </c>
      <c r="S32" s="26" t="str">
        <f>S18</f>
        <v> </v>
      </c>
      <c r="T32" s="26">
        <f>T18</f>
        <v>-0.10530850892635343</v>
      </c>
      <c r="U32" s="26"/>
      <c r="V32" s="26">
        <f>V19</f>
        <v>7.244999999999999</v>
      </c>
      <c r="W32" s="26">
        <f>W18</f>
        <v>13.409895157581339</v>
      </c>
      <c r="X32" s="26"/>
      <c r="Y32" s="26" t="str">
        <f>Y18</f>
        <v> </v>
      </c>
      <c r="Z32" s="26">
        <f>Z18</f>
        <v>32</v>
      </c>
      <c r="AA32" s="26">
        <f>AA18</f>
        <v>-100</v>
      </c>
      <c r="AB32" s="26">
        <f>AB18</f>
        <v>7.245</v>
      </c>
      <c r="AC32" s="26">
        <f>AC18</f>
        <v>7.245</v>
      </c>
      <c r="AD32" s="61">
        <f>AD18</f>
        <v>21</v>
      </c>
      <c r="AE32" s="26">
        <f>AE19</f>
        <v>18</v>
      </c>
      <c r="AF32" s="26">
        <f>AF18</f>
        <v>0.15500000000000025</v>
      </c>
      <c r="AG32" s="26">
        <f>AG18</f>
        <v>0.2450000000000001</v>
      </c>
      <c r="AH32" s="26">
        <f>AH18</f>
      </c>
      <c r="AI32" s="26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5"/>
      <c r="BJ32" s="5"/>
      <c r="BK32" s="5"/>
      <c r="BL32" s="5"/>
    </row>
    <row r="33" ht="15.75" customHeight="1" spans="1:64" x14ac:dyDescent="0.25">
      <c r="A33" s="112"/>
      <c r="B33" s="113"/>
      <c r="C33" s="2"/>
      <c r="D33" s="2"/>
      <c r="E33" s="117" t="s">
        <v>78</v>
      </c>
      <c r="F33" s="118">
        <f>B18+AVERAGEA(B19:B118)</f>
        <v>7.2618999999999945</v>
      </c>
      <c r="G33" s="119"/>
      <c r="H33" s="120" t="s">
        <v>79</v>
      </c>
      <c r="I33" s="118">
        <f>B18+MINA(B19:B118)</f>
        <v>7.2</v>
      </c>
      <c r="J33" s="119"/>
      <c r="K33" s="120" t="s">
        <v>80</v>
      </c>
      <c r="L33" s="118">
        <f>B18+MAXA(B19:B118)</f>
        <v>7.35</v>
      </c>
      <c r="M33" s="120" t="s">
        <v>81</v>
      </c>
      <c r="N33" s="121">
        <f>COUNTA(B19:B118)</f>
        <v>100</v>
      </c>
      <c r="O33" s="3"/>
      <c r="P33" s="3"/>
      <c r="Q33" s="3"/>
      <c r="R33" s="59">
        <f>R19</f>
        <v>7.193749999999997</v>
      </c>
      <c r="S33" s="26" t="str">
        <f>S18</f>
        <v> </v>
      </c>
      <c r="T33" s="26">
        <f>T18</f>
        <v>-0.10465344473949897</v>
      </c>
      <c r="U33" s="26"/>
      <c r="V33" s="26">
        <f>V19</f>
        <v>7.249999999999999</v>
      </c>
      <c r="W33" s="26">
        <f>W18</f>
        <v>15.487813402512453</v>
      </c>
      <c r="X33" s="26"/>
      <c r="Y33" s="26" t="str">
        <f>Y18</f>
        <v> </v>
      </c>
      <c r="Z33" s="26">
        <f>Z18</f>
        <v>32</v>
      </c>
      <c r="AA33" s="26">
        <f>AA18</f>
        <v>-100</v>
      </c>
      <c r="AB33" s="26">
        <f>AB18</f>
        <v>7.25</v>
      </c>
      <c r="AC33" s="26">
        <f>AC18</f>
        <v>7.25</v>
      </c>
      <c r="AD33" s="61">
        <f>AD18</f>
        <v>39</v>
      </c>
      <c r="AE33" s="26">
        <f>AE19</f>
      </c>
      <c r="AF33" s="26">
        <f>AF18</f>
        <v>0.15000000000000036</v>
      </c>
      <c r="AG33" s="26">
        <f>AG18</f>
        <v>0.25</v>
      </c>
      <c r="AH33" s="26">
        <f>AH18</f>
      </c>
      <c r="AI33" s="26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5"/>
      <c r="BJ33" s="5"/>
      <c r="BK33" s="5"/>
      <c r="BL33" s="5"/>
    </row>
    <row r="34" ht="15.75" customHeight="1" spans="1:64" x14ac:dyDescent="0.25">
      <c r="A34" s="112"/>
      <c r="B34" s="111"/>
      <c r="C34" s="2"/>
      <c r="D34" s="2"/>
      <c r="E34" s="122" t="s">
        <v>82</v>
      </c>
      <c r="F34" s="52">
        <f>SUM(M13:M32)/((N33/AF8)*AG8)</f>
        <v>0.0223559759243336</v>
      </c>
      <c r="G34" s="123"/>
      <c r="H34" s="124" t="s">
        <v>83</v>
      </c>
      <c r="I34" s="125">
        <f>IF(B12=3,(J8-F33)/(F34*3),IF(B12=4,(F33-J9)/(F34*3),IF(B12=2,(J8-F33)/(3*F34),J10/(6*F34))))</f>
        <v>2.9820512820512874</v>
      </c>
      <c r="J34" s="126"/>
      <c r="K34" s="127" t="s">
        <v>84</v>
      </c>
      <c r="L34" s="128">
        <f>IF(OR(OR(B12=3,B12=4),B12=2)," ",IF(N34&gt;=1,0,(1-N34)*I34))</f>
        <v>2.0591064102564998</v>
      </c>
      <c r="M34" s="127" t="s">
        <v>85</v>
      </c>
      <c r="N34" s="129">
        <f>IF(OR(OR(B12=3,B12=4),B12=2)," ",ABS(J11-F33)/(J10/2))</f>
        <v>0.3094999999999712</v>
      </c>
      <c r="O34" s="3"/>
      <c r="P34" s="3"/>
      <c r="Q34" s="3"/>
      <c r="R34" s="59">
        <f>R19</f>
        <v>7.194999999999997</v>
      </c>
      <c r="S34" s="26" t="str">
        <f>S18</f>
        <v> </v>
      </c>
      <c r="T34" s="26">
        <f>T18</f>
        <v>-0.10070419671623779</v>
      </c>
      <c r="U34" s="26"/>
      <c r="V34" s="26">
        <f>V19</f>
        <v>7.254999999999999</v>
      </c>
      <c r="W34" s="26">
        <f>W18</f>
        <v>17.014961465911867</v>
      </c>
      <c r="X34" s="26"/>
      <c r="Y34" s="26" t="str">
        <f>Y18</f>
        <v>7.255000</v>
      </c>
      <c r="Z34" s="26">
        <f>Z18</f>
        <v>31</v>
      </c>
      <c r="AA34" s="26">
        <f>AA18</f>
        <v>1</v>
      </c>
      <c r="AB34" s="26">
        <f>AB18</f>
        <v>7.255</v>
      </c>
      <c r="AC34" s="26">
        <f>AC18</f>
        <v>7.255</v>
      </c>
      <c r="AD34" s="61">
        <f>AD18</f>
        <v>39</v>
      </c>
      <c r="AE34" s="26">
        <f>AE19</f>
        <v>18</v>
      </c>
      <c r="AF34" s="26">
        <f>AF18</f>
        <v>0.14500000000000046</v>
      </c>
      <c r="AG34" s="26">
        <f>AG18</f>
        <v>0.2549999999999999</v>
      </c>
      <c r="AH34" s="26">
        <f>AH18</f>
      </c>
      <c r="AI34" s="26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5"/>
      <c r="BJ34" s="5"/>
      <c r="BK34" s="5"/>
      <c r="BL34" s="5"/>
    </row>
    <row r="35" ht="15.75" customHeight="1" spans="1:64" x14ac:dyDescent="0.25">
      <c r="A35" s="112"/>
      <c r="B35" s="111"/>
      <c r="C35" s="2"/>
      <c r="D35" s="2"/>
      <c r="E35" s="130"/>
      <c r="F35" s="123"/>
      <c r="G35" s="123"/>
      <c r="H35" s="124" t="s">
        <v>86</v>
      </c>
      <c r="I35" s="131">
        <f>1/I34</f>
        <v>0.3353396388650037</v>
      </c>
      <c r="J35" s="123"/>
      <c r="K35" s="124" t="s">
        <v>87</v>
      </c>
      <c r="L35" s="131">
        <f>IF(OR(OR(B12=3,B12=4),B12=2)," ",IF(N34&gt;=1,0,1/L34))</f>
        <v>0.48564755809556803</v>
      </c>
      <c r="M35" s="123"/>
      <c r="N35" s="132"/>
      <c r="O35" s="3"/>
      <c r="P35" s="3"/>
      <c r="Q35" s="3"/>
      <c r="R35" s="59">
        <f>R19</f>
        <v>7.1962499999999965</v>
      </c>
      <c r="S35" s="26" t="str">
        <f>S18</f>
        <v> </v>
      </c>
      <c r="T35" s="26">
        <f>T18</f>
        <v>-0.09260108386225187</v>
      </c>
      <c r="U35" s="26"/>
      <c r="V35" s="26">
        <f>V19</f>
        <v>7.259999999999999</v>
      </c>
      <c r="W35" s="26">
        <f>W18</f>
        <v>17.78066375584793</v>
      </c>
      <c r="X35" s="26"/>
      <c r="Y35" s="26" t="str">
        <f>Y18</f>
        <v> </v>
      </c>
      <c r="Z35" s="26">
        <f>Z18</f>
        <v>31</v>
      </c>
      <c r="AA35" s="26">
        <f>AA18</f>
        <v>-100</v>
      </c>
      <c r="AB35" s="26">
        <f>AB18</f>
        <v>7.26</v>
      </c>
      <c r="AC35" s="26">
        <f>AC18</f>
        <v>7.26</v>
      </c>
      <c r="AD35" s="61">
        <f>AD18</f>
        <v>57</v>
      </c>
      <c r="AE35" s="26">
        <f>AE19</f>
      </c>
      <c r="AF35" s="26">
        <f>AF18</f>
        <v>0.14000000000000057</v>
      </c>
      <c r="AG35" s="26">
        <f>AG18</f>
        <v>0.2599999999999998</v>
      </c>
      <c r="AH35" s="26">
        <f>AH18</f>
      </c>
      <c r="AI35" s="26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5"/>
      <c r="BJ35" s="5"/>
      <c r="BK35" s="5"/>
      <c r="BL35" s="5"/>
    </row>
    <row r="36" ht="15.75" customHeight="1" spans="1:64" x14ac:dyDescent="0.25">
      <c r="A36" s="112"/>
      <c r="B36" s="113"/>
      <c r="C36" s="2"/>
      <c r="D36" s="2"/>
      <c r="E36" s="133"/>
      <c r="F36" s="123"/>
      <c r="G36" s="134" t="s">
        <v>88</v>
      </c>
      <c r="H36" s="135">
        <f>IF(B12=4,0,1-NORMDIST(J8,F33,F34,TRUE))</f>
        <v>1</v>
      </c>
      <c r="I36" s="123"/>
      <c r="J36" s="136"/>
      <c r="K36" s="123"/>
      <c r="L36" s="134" t="s">
        <v>89</v>
      </c>
      <c r="M36" s="135">
        <f>IF(OR(B12=2,B12=3),0,NORMDIST(J9,F33,F34,TRUE))</f>
        <v>0.9999999996740042</v>
      </c>
      <c r="N36" s="132"/>
      <c r="O36" s="3"/>
      <c r="P36" s="3"/>
      <c r="Q36" s="3"/>
      <c r="R36" s="59">
        <f>R19</f>
        <v>7.197499999999996</v>
      </c>
      <c r="S36" s="26" t="str">
        <f>S18</f>
        <v> </v>
      </c>
      <c r="T36" s="26">
        <f>T18</f>
        <v>-0.07936121998290645</v>
      </c>
      <c r="U36" s="26"/>
      <c r="V36" s="26">
        <f>V19</f>
        <v>7.264999999999999</v>
      </c>
      <c r="W36" s="26">
        <f>W18</f>
        <v>17.674254555951148</v>
      </c>
      <c r="X36" s="26"/>
      <c r="Y36" s="26" t="str">
        <f>Y18</f>
        <v> </v>
      </c>
      <c r="Z36" s="26">
        <f>Z18</f>
        <v>31</v>
      </c>
      <c r="AA36" s="26">
        <f>AA18</f>
        <v>-100</v>
      </c>
      <c r="AB36" s="26">
        <f>AB18</f>
        <v>7.265</v>
      </c>
      <c r="AC36" s="26">
        <f>AC18</f>
        <v>7.265</v>
      </c>
      <c r="AD36" s="61">
        <f>AD18</f>
        <v>57</v>
      </c>
      <c r="AE36" s="26">
        <f>AE19</f>
        <v>13</v>
      </c>
      <c r="AF36" s="26">
        <f>AF18</f>
        <v>0.13500000000000068</v>
      </c>
      <c r="AG36" s="26">
        <f>AG18</f>
        <v>0.2649999999999997</v>
      </c>
      <c r="AH36" s="26">
        <f>AH18</f>
      </c>
      <c r="AI36" s="26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5"/>
      <c r="BJ36" s="5"/>
      <c r="BK36" s="5"/>
      <c r="BL36" s="5"/>
    </row>
    <row r="37" ht="15.75" customHeight="1" spans="1:64" x14ac:dyDescent="0.25">
      <c r="A37" s="112"/>
      <c r="B37" s="111"/>
      <c r="C37" s="2"/>
      <c r="D37" s="2"/>
      <c r="E37" s="133"/>
      <c r="F37" s="123"/>
      <c r="G37" s="134" t="s">
        <v>90</v>
      </c>
      <c r="H37" s="137">
        <f>KURT(B19:B118)+3</f>
        <v>5.611364160277823</v>
      </c>
      <c r="I37" s="123"/>
      <c r="J37" s="136"/>
      <c r="K37" s="123"/>
      <c r="L37" s="134" t="s">
        <v>91</v>
      </c>
      <c r="M37" s="137">
        <f>SKEW(B19:B118)</f>
        <v>0.5039281553439122</v>
      </c>
      <c r="N37" s="132"/>
      <c r="O37" s="3"/>
      <c r="P37" s="3"/>
      <c r="Q37" s="3"/>
      <c r="R37" s="59">
        <f>R19</f>
        <v>7.198749999999996</v>
      </c>
      <c r="S37" s="26" t="str">
        <f>S18</f>
        <v> </v>
      </c>
      <c r="T37" s="26">
        <f>T18</f>
        <v>-0.059872930464265194</v>
      </c>
      <c r="U37" s="26"/>
      <c r="V37" s="26">
        <f>V19</f>
        <v>7.269999999999999</v>
      </c>
      <c r="W37" s="26">
        <f>W18</f>
        <v>16.711305522859412</v>
      </c>
      <c r="X37" s="26"/>
      <c r="Y37" s="26" t="str">
        <f>Y18</f>
        <v> </v>
      </c>
      <c r="Z37" s="26">
        <f>Z18</f>
        <v>31</v>
      </c>
      <c r="AA37" s="26">
        <f>AA18</f>
        <v>-100</v>
      </c>
      <c r="AB37" s="26">
        <f>AB18</f>
        <v>7.27</v>
      </c>
      <c r="AC37" s="26">
        <f>AC18</f>
        <v>7.27</v>
      </c>
      <c r="AD37" s="61">
        <f>AD18</f>
        <v>70</v>
      </c>
      <c r="AE37" s="26">
        <f>AE19</f>
      </c>
      <c r="AF37" s="26">
        <f>AF18</f>
        <v>0.13000000000000078</v>
      </c>
      <c r="AG37" s="26">
        <f>AG18</f>
        <v>0.2699999999999996</v>
      </c>
      <c r="AH37" s="26">
        <f>AH18</f>
      </c>
      <c r="AI37" s="26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5"/>
      <c r="BJ37" s="5"/>
      <c r="BK37" s="5"/>
      <c r="BL37" s="5"/>
    </row>
    <row r="38" ht="15.75" customHeight="1" spans="1:64" x14ac:dyDescent="0.25">
      <c r="A38" s="112"/>
      <c r="B38" s="113"/>
      <c r="C38" s="2"/>
      <c r="D38" s="2"/>
      <c r="E38" s="138"/>
      <c r="F38" s="139"/>
      <c r="G38" s="140" t="s">
        <v>92</v>
      </c>
      <c r="H38" s="141">
        <f>IF(AND(J9=0,(F33-3*F34)&lt;=0),0,+F33-3*F34)</f>
        <v>7.194832072226994</v>
      </c>
      <c r="I38" s="142" t="s">
        <v>93</v>
      </c>
      <c r="J38" s="143">
        <f>F33+3*F34</f>
        <v>7.328967927772995</v>
      </c>
      <c r="K38" s="139"/>
      <c r="L38" s="139"/>
      <c r="M38" s="139"/>
      <c r="N38" s="144"/>
      <c r="O38" s="3"/>
      <c r="P38" s="3"/>
      <c r="Q38" s="3"/>
      <c r="R38" s="59">
        <f>R19</f>
        <v>7.199999999999996</v>
      </c>
      <c r="S38" s="26" t="str">
        <f>S18</f>
        <v> </v>
      </c>
      <c r="T38" s="26">
        <f>T18</f>
        <v>-0.03289205511033926</v>
      </c>
      <c r="U38" s="26"/>
      <c r="V38" s="26">
        <f>V19</f>
        <v>7.274999999999999</v>
      </c>
      <c r="W38" s="26">
        <f>W18</f>
        <v>15.029889576227013</v>
      </c>
      <c r="X38" s="26"/>
      <c r="Y38" s="26" t="str">
        <f>Y18</f>
        <v>7.275000</v>
      </c>
      <c r="Z38" s="26">
        <f>Z18</f>
        <v>27</v>
      </c>
      <c r="AA38" s="26">
        <f>AA18</f>
        <v>1</v>
      </c>
      <c r="AB38" s="26">
        <f>AB18</f>
        <v>7.275</v>
      </c>
      <c r="AC38" s="26">
        <f>AC18</f>
        <v>7.275</v>
      </c>
      <c r="AD38" s="61">
        <f>AD18</f>
        <v>70</v>
      </c>
      <c r="AE38" s="26">
        <f>AE19</f>
        <v>21</v>
      </c>
      <c r="AF38" s="26">
        <f>AF18</f>
        <v>0.125</v>
      </c>
      <c r="AG38" s="26">
        <f>AG18</f>
        <v>0.27500000000000036</v>
      </c>
      <c r="AH38" s="26">
        <f>AH18</f>
      </c>
      <c r="AI38" s="26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5"/>
      <c r="BJ38" s="5"/>
      <c r="BK38" s="5"/>
      <c r="BL38" s="5"/>
    </row>
    <row r="39" ht="15.75" customHeight="1" spans="1:64" x14ac:dyDescent="0.25">
      <c r="A39" s="112"/>
      <c r="B39" s="111"/>
      <c r="C39" s="2"/>
      <c r="D39" s="2"/>
      <c r="E39" s="145"/>
      <c r="F39" s="146"/>
      <c r="G39" s="146"/>
      <c r="H39" s="146"/>
      <c r="I39" s="146"/>
      <c r="J39" s="146"/>
      <c r="K39" s="146"/>
      <c r="L39" s="146"/>
      <c r="M39" s="146"/>
      <c r="N39" s="147"/>
      <c r="O39" s="3"/>
      <c r="P39" s="3"/>
      <c r="Q39" s="3"/>
      <c r="R39" s="59">
        <f>R19</f>
        <v>7.2012499999999955</v>
      </c>
      <c r="S39" s="26">
        <f>S18</f>
        <v>0.0029594258971844373</v>
      </c>
      <c r="T39" s="26">
        <f>T18</f>
        <v>0.0029594258971844373</v>
      </c>
      <c r="U39" s="26"/>
      <c r="V39" s="26">
        <f>V19</f>
        <v>7.2799999999999985</v>
      </c>
      <c r="W39" s="26">
        <f>W18</f>
        <v>12.858115944723453</v>
      </c>
      <c r="X39" s="26"/>
      <c r="Y39" s="26" t="str">
        <f>Y18</f>
        <v> </v>
      </c>
      <c r="Z39" s="26">
        <f>Z18</f>
        <v>27</v>
      </c>
      <c r="AA39" s="26">
        <f>AA18</f>
        <v>-100</v>
      </c>
      <c r="AB39" s="26">
        <f>AB18</f>
        <v>7.28</v>
      </c>
      <c r="AC39" s="26">
        <f>AC18</f>
        <v>7.28</v>
      </c>
      <c r="AD39" s="61">
        <f>AD18</f>
        <v>91</v>
      </c>
      <c r="AE39" s="26">
        <f>AE19</f>
      </c>
      <c r="AF39" s="26">
        <f>AF18</f>
        <v>0.1200000000000001</v>
      </c>
      <c r="AG39" s="26">
        <f>AG18</f>
        <v>0.28000000000000025</v>
      </c>
      <c r="AH39" s="26">
        <f>AH18</f>
      </c>
      <c r="AI39" s="26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5"/>
      <c r="BJ39" s="5"/>
      <c r="BK39" s="5"/>
      <c r="BL39" s="5"/>
    </row>
    <row r="40" ht="15.75" customHeight="1" spans="1:64" x14ac:dyDescent="0.25">
      <c r="A40" s="112"/>
      <c r="B40" s="111"/>
      <c r="C40" s="2"/>
      <c r="D40" s="2"/>
      <c r="E40" s="148" t="s">
        <v>94</v>
      </c>
      <c r="F40" s="148"/>
      <c r="G40" s="148"/>
      <c r="H40" s="148"/>
      <c r="I40" s="148"/>
      <c r="J40" s="148"/>
      <c r="K40" s="148"/>
      <c r="L40" s="148"/>
      <c r="M40" s="148"/>
      <c r="N40" s="148"/>
      <c r="O40" s="3"/>
      <c r="P40" s="3"/>
      <c r="Q40" s="3"/>
      <c r="R40" s="59">
        <f>R19</f>
        <v>7.202499999999995</v>
      </c>
      <c r="S40" s="26">
        <f>S18</f>
        <v>0.04919199906562542</v>
      </c>
      <c r="T40" s="26">
        <f>T18</f>
        <v>0.04919199906562542</v>
      </c>
      <c r="U40" s="26"/>
      <c r="V40" s="26">
        <f>V19</f>
        <v>7.284999999999998</v>
      </c>
      <c r="W40" s="26">
        <f>W18</f>
        <v>10.463452867860907</v>
      </c>
      <c r="X40" s="26"/>
      <c r="Y40" s="26" t="str">
        <f>Y18</f>
        <v> </v>
      </c>
      <c r="Z40" s="26">
        <f>Z18</f>
        <v>27</v>
      </c>
      <c r="AA40" s="26">
        <f>AA18</f>
        <v>-100</v>
      </c>
      <c r="AB40" s="26">
        <f>AB18</f>
        <v>7.285</v>
      </c>
      <c r="AC40" s="26">
        <f>AC18</f>
        <v>7.285</v>
      </c>
      <c r="AD40" s="61">
        <f>AD18</f>
        <v>91</v>
      </c>
      <c r="AE40" s="26">
        <f>AE19</f>
        <v>6</v>
      </c>
      <c r="AF40" s="26">
        <f>AF18</f>
        <v>0.11500000000000021</v>
      </c>
      <c r="AG40" s="26">
        <f>AG18</f>
        <v>0.28500000000000014</v>
      </c>
      <c r="AH40" s="26">
        <f>AH18</f>
      </c>
      <c r="AI40" s="26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5"/>
      <c r="BJ40" s="5"/>
      <c r="BK40" s="5"/>
      <c r="BL40" s="5"/>
    </row>
    <row r="41" spans="1:64" x14ac:dyDescent="0.25">
      <c r="A41" s="112"/>
      <c r="B41" s="113"/>
      <c r="C41" s="2"/>
      <c r="D41" s="2"/>
      <c r="E41" s="149"/>
      <c r="F41" s="5"/>
      <c r="G41" s="5"/>
      <c r="H41" s="5"/>
      <c r="I41" s="5"/>
      <c r="J41" s="5"/>
      <c r="K41" s="5"/>
      <c r="L41" s="5"/>
      <c r="M41" s="5"/>
      <c r="N41" s="150"/>
      <c r="O41" s="3"/>
      <c r="P41" s="3"/>
      <c r="Q41" s="3"/>
      <c r="R41" s="59">
        <f>R19</f>
        <v>7.203749999999995</v>
      </c>
      <c r="S41" s="26">
        <f>S18</f>
        <v>0.107444020811888</v>
      </c>
      <c r="T41" s="26">
        <f>T18</f>
        <v>0.107444020811888</v>
      </c>
      <c r="U41" s="26"/>
      <c r="V41" s="26">
        <f>V19</f>
        <v>7.289999999999998</v>
      </c>
      <c r="W41" s="26">
        <f>W18</f>
        <v>8.09932533804456</v>
      </c>
      <c r="X41" s="26"/>
      <c r="Y41" s="26" t="str">
        <f>Y18</f>
        <v> </v>
      </c>
      <c r="Z41" s="26">
        <f>Z18</f>
        <v>27</v>
      </c>
      <c r="AA41" s="26">
        <f>AA18</f>
        <v>-100</v>
      </c>
      <c r="AB41" s="26">
        <f>AB18</f>
        <v>7.29</v>
      </c>
      <c r="AC41" s="26">
        <f>AC18</f>
        <v>7.29</v>
      </c>
      <c r="AD41" s="61">
        <f>AD18</f>
        <v>97</v>
      </c>
      <c r="AE41" s="26">
        <f>AE19</f>
      </c>
      <c r="AF41" s="26">
        <f>AF18</f>
        <v>0.11000000000000032</v>
      </c>
      <c r="AG41" s="26">
        <f>AG18</f>
        <v>0.29000000000000004</v>
      </c>
      <c r="AH41" s="26">
        <f>AH18</f>
      </c>
      <c r="AI41" s="26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5"/>
      <c r="BJ41" s="5"/>
      <c r="BK41" s="5"/>
      <c r="BL41" s="5"/>
    </row>
    <row r="42" spans="1:64" x14ac:dyDescent="0.25">
      <c r="A42" s="112"/>
      <c r="B42" s="111"/>
      <c r="C42" s="2"/>
      <c r="D42" s="2"/>
      <c r="E42" s="149"/>
      <c r="F42" s="5"/>
      <c r="G42" s="5"/>
      <c r="H42" s="5"/>
      <c r="I42" s="5"/>
      <c r="J42" s="5"/>
      <c r="K42" s="5"/>
      <c r="L42" s="5"/>
      <c r="M42" s="5"/>
      <c r="N42" s="150"/>
      <c r="O42" s="3"/>
      <c r="P42" s="3"/>
      <c r="Q42" s="3"/>
      <c r="R42" s="59">
        <f>R19</f>
        <v>7.204999999999995</v>
      </c>
      <c r="S42" s="26">
        <f>S18</f>
        <v>0.17947350276055637</v>
      </c>
      <c r="T42" s="26">
        <f>T18</f>
        <v>0.17947350276055637</v>
      </c>
      <c r="U42" s="26"/>
      <c r="V42" s="26">
        <f>V19</f>
        <v>7.294999999999998</v>
      </c>
      <c r="W42" s="26">
        <f>W18</f>
        <v>5.963466765680176</v>
      </c>
      <c r="X42" s="26"/>
      <c r="Y42" s="26" t="str">
        <f>Y18</f>
        <v>7.295000</v>
      </c>
      <c r="Z42" s="26">
        <f>Z18</f>
        <v>1</v>
      </c>
      <c r="AA42" s="26">
        <f>AA18</f>
        <v>1</v>
      </c>
      <c r="AB42" s="26">
        <f>AB18</f>
        <v>7.295</v>
      </c>
      <c r="AC42" s="26">
        <f>AC18</f>
        <v>7.295</v>
      </c>
      <c r="AD42" s="61">
        <f>AD18</f>
        <v>97</v>
      </c>
      <c r="AE42" s="26">
        <f>AE19</f>
      </c>
      <c r="AF42" s="26">
        <f>AF18</f>
        <v>0.10500000000000043</v>
      </c>
      <c r="AG42" s="26">
        <f>AG18</f>
        <v>0.29499999999999993</v>
      </c>
      <c r="AH42" s="26">
        <f>AH18</f>
      </c>
      <c r="AI42" s="26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5"/>
      <c r="BJ42" s="5"/>
      <c r="BK42" s="5"/>
      <c r="BL42" s="5"/>
    </row>
    <row r="43" spans="1:64" x14ac:dyDescent="0.25">
      <c r="A43" s="112"/>
      <c r="B43" s="113"/>
      <c r="C43" s="2"/>
      <c r="D43" s="2"/>
      <c r="E43" s="149"/>
      <c r="F43" s="5"/>
      <c r="G43" s="5"/>
      <c r="H43" s="5"/>
      <c r="I43" s="5"/>
      <c r="J43" s="5"/>
      <c r="K43" s="5"/>
      <c r="L43" s="5"/>
      <c r="M43" s="5"/>
      <c r="N43" s="150"/>
      <c r="O43" s="3"/>
      <c r="P43" s="3"/>
      <c r="Q43" s="3"/>
      <c r="R43" s="59">
        <f>R19</f>
        <v>7.2062499999999945</v>
      </c>
      <c r="S43" s="26">
        <f>S18</f>
        <v>0.2671459054053997</v>
      </c>
      <c r="T43" s="26">
        <f>T18</f>
        <v>0.2671459054053997</v>
      </c>
      <c r="U43" s="26"/>
      <c r="V43" s="26">
        <f>V19</f>
        <v>7.299999999999998</v>
      </c>
      <c r="W43" s="26">
        <f>W18</f>
        <v>4.176619380309518</v>
      </c>
      <c r="X43" s="26"/>
      <c r="Y43" s="26" t="str">
        <f>Y18</f>
        <v> </v>
      </c>
      <c r="Z43" s="26">
        <f>Z18</f>
        <v>1</v>
      </c>
      <c r="AA43" s="26">
        <f>AA18</f>
        <v>-100</v>
      </c>
      <c r="AB43" s="26">
        <f>AB18</f>
        <v>7.3</v>
      </c>
      <c r="AC43" s="26">
        <f>AC18</f>
        <v>7.3</v>
      </c>
      <c r="AD43" s="61">
        <f>AD18</f>
        <v>97</v>
      </c>
      <c r="AE43" s="26">
        <f>AE19</f>
      </c>
      <c r="AF43" s="26">
        <f>AF18</f>
        <v>0.10000000000000053</v>
      </c>
      <c r="AG43" s="26">
        <f>AG18</f>
        <v>0.2999999999999998</v>
      </c>
      <c r="AH43" s="26">
        <f>AH18</f>
      </c>
      <c r="AI43" s="26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5"/>
      <c r="BJ43" s="5"/>
      <c r="BK43" s="5"/>
      <c r="BL43" s="5"/>
    </row>
    <row r="44" spans="1:64" x14ac:dyDescent="0.25">
      <c r="A44" s="112"/>
      <c r="B44" s="113"/>
      <c r="C44" s="2"/>
      <c r="D44" s="2"/>
      <c r="E44" s="149"/>
      <c r="F44" s="5"/>
      <c r="G44" s="5"/>
      <c r="H44" s="5"/>
      <c r="I44" s="5"/>
      <c r="J44" s="5"/>
      <c r="K44" s="5"/>
      <c r="L44" s="5"/>
      <c r="M44" s="5"/>
      <c r="N44" s="150"/>
      <c r="O44" s="3"/>
      <c r="P44" s="3"/>
      <c r="Q44" s="3"/>
      <c r="R44" s="59">
        <f>R19</f>
        <v>7.207499999999994</v>
      </c>
      <c r="S44" s="26">
        <f>S18</f>
        <v>0.3724176256642325</v>
      </c>
      <c r="T44" s="26">
        <f>T18</f>
        <v>0.3724176256642325</v>
      </c>
      <c r="U44" s="26"/>
      <c r="V44" s="26">
        <f>V19</f>
        <v>7.304999999999998</v>
      </c>
      <c r="W44" s="26">
        <f>W18</f>
        <v>2.7824484855807423</v>
      </c>
      <c r="X44" s="26"/>
      <c r="Y44" s="26" t="str">
        <f>Y18</f>
        <v> </v>
      </c>
      <c r="Z44" s="26">
        <f>Z18</f>
        <v>1</v>
      </c>
      <c r="AA44" s="26">
        <f>AA18</f>
        <v>-100</v>
      </c>
      <c r="AB44" s="26">
        <f>AB18</f>
        <v>7.305</v>
      </c>
      <c r="AC44" s="26">
        <f>AC18</f>
        <v>7.305</v>
      </c>
      <c r="AD44" s="61">
        <f>AD18</f>
        <v>97</v>
      </c>
      <c r="AE44" s="26">
        <f>AE19</f>
        <v>1</v>
      </c>
      <c r="AF44" s="26">
        <f>AF18</f>
        <v>0.09500000000000064</v>
      </c>
      <c r="AG44" s="26">
        <f>AG18</f>
        <v>0.3049999999999997</v>
      </c>
      <c r="AH44" s="26">
        <f>AH18</f>
      </c>
      <c r="AI44" s="26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5"/>
      <c r="BJ44" s="5"/>
      <c r="BK44" s="5"/>
      <c r="BL44" s="5"/>
    </row>
    <row r="45" spans="1:64" x14ac:dyDescent="0.25">
      <c r="A45" s="112"/>
      <c r="B45" s="113"/>
      <c r="C45" s="2"/>
      <c r="D45" s="2"/>
      <c r="E45" s="149"/>
      <c r="F45" s="5"/>
      <c r="G45" s="5"/>
      <c r="H45" s="5"/>
      <c r="I45" s="5"/>
      <c r="J45" s="5"/>
      <c r="K45" s="5"/>
      <c r="L45" s="5"/>
      <c r="M45" s="5"/>
      <c r="N45" s="150"/>
      <c r="O45" s="3"/>
      <c r="P45" s="3"/>
      <c r="Q45" s="3"/>
      <c r="R45" s="59">
        <f>R19</f>
        <v>7.208749999999994</v>
      </c>
      <c r="S45" s="26">
        <f>S18</f>
        <v>0.49731494273828974</v>
      </c>
      <c r="T45" s="26">
        <f>T18</f>
        <v>0.49731494273828974</v>
      </c>
      <c r="U45" s="26"/>
      <c r="V45" s="26">
        <f>V19</f>
        <v>7.309999999999998</v>
      </c>
      <c r="W45" s="26">
        <f>W18</f>
        <v>1.7632159377417096</v>
      </c>
      <c r="X45" s="26"/>
      <c r="Y45" s="26" t="str">
        <f>Y18</f>
        <v> </v>
      </c>
      <c r="Z45" s="26">
        <f>Z18</f>
        <v>1</v>
      </c>
      <c r="AA45" s="26">
        <f>AA18</f>
        <v>-100</v>
      </c>
      <c r="AB45" s="26">
        <f>AB18</f>
        <v>7.31</v>
      </c>
      <c r="AC45" s="26">
        <f>AC18</f>
        <v>7.31</v>
      </c>
      <c r="AD45" s="61">
        <f>AD18</f>
        <v>98</v>
      </c>
      <c r="AE45" s="26">
        <f>AE19</f>
      </c>
      <c r="AF45" s="26">
        <f>AF18</f>
        <v>0.09000000000000075</v>
      </c>
      <c r="AG45" s="26">
        <f>AG18</f>
        <v>0.3099999999999996</v>
      </c>
      <c r="AH45" s="26">
        <f>AH18</f>
      </c>
      <c r="AI45" s="26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5"/>
      <c r="BJ45" s="5"/>
      <c r="BK45" s="5"/>
      <c r="BL45" s="5"/>
    </row>
    <row r="46" spans="1:64" x14ac:dyDescent="0.25">
      <c r="A46" s="112"/>
      <c r="B46" s="111"/>
      <c r="C46" s="2"/>
      <c r="D46" s="2"/>
      <c r="E46" s="149"/>
      <c r="F46" s="5"/>
      <c r="G46" s="5"/>
      <c r="H46" s="5"/>
      <c r="I46" s="5"/>
      <c r="J46" s="5"/>
      <c r="K46" s="5"/>
      <c r="L46" s="5"/>
      <c r="M46" s="5"/>
      <c r="N46" s="150"/>
      <c r="O46" s="3"/>
      <c r="P46" s="3"/>
      <c r="Q46" s="3"/>
      <c r="R46" s="59">
        <f>R19</f>
        <v>7.209999999999994</v>
      </c>
      <c r="S46" s="26">
        <f>S18</f>
        <v>0.6439082852802901</v>
      </c>
      <c r="T46" s="26">
        <f>T18</f>
        <v>0.6439082852802901</v>
      </c>
      <c r="U46" s="26"/>
      <c r="V46" s="26">
        <f>V19</f>
        <v>7.314999999999998</v>
      </c>
      <c r="W46" s="26">
        <f>W18</f>
        <v>1.0628207141636383</v>
      </c>
      <c r="X46" s="26"/>
      <c r="Y46" s="26" t="str">
        <f>Y18</f>
        <v>7.315000</v>
      </c>
      <c r="Z46" s="26">
        <f>Z18</f>
      </c>
      <c r="AA46" s="26">
        <f>AA18</f>
        <v>1</v>
      </c>
      <c r="AB46" s="26">
        <f>AB18</f>
        <v>7.315</v>
      </c>
      <c r="AC46" s="26">
        <f>AC18</f>
        <v>7.315</v>
      </c>
      <c r="AD46" s="61">
        <f>AD18</f>
        <v>98</v>
      </c>
      <c r="AE46" s="26">
        <f>AE19</f>
      </c>
      <c r="AF46" s="26">
        <f>AF18</f>
        <v>0.08499999999999996</v>
      </c>
      <c r="AG46" s="26">
        <f>AG18</f>
        <v>0.3150000000000004</v>
      </c>
      <c r="AH46" s="26">
        <f>AH18</f>
      </c>
      <c r="AI46" s="26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5"/>
      <c r="BJ46" s="5"/>
      <c r="BK46" s="5"/>
      <c r="BL46" s="5"/>
    </row>
    <row r="47" spans="1:64" x14ac:dyDescent="0.25">
      <c r="A47" s="112"/>
      <c r="B47" s="111"/>
      <c r="C47" s="2"/>
      <c r="D47" s="2"/>
      <c r="E47" s="149"/>
      <c r="F47" s="5"/>
      <c r="G47" s="5"/>
      <c r="H47" s="5"/>
      <c r="I47" s="5"/>
      <c r="J47" s="5"/>
      <c r="K47" s="5"/>
      <c r="L47" s="5"/>
      <c r="M47" s="5"/>
      <c r="N47" s="150"/>
      <c r="O47" s="3"/>
      <c r="P47" s="3"/>
      <c r="Q47" s="3"/>
      <c r="R47" s="59">
        <f>R19</f>
        <v>7.2112499999999935</v>
      </c>
      <c r="S47" s="26">
        <f>S18</f>
        <v>0.8142818004674631</v>
      </c>
      <c r="T47" s="26">
        <f>T18</f>
        <v>0.8142818004674631</v>
      </c>
      <c r="U47" s="26"/>
      <c r="V47" s="26">
        <f>V19</f>
        <v>7.319999999999998</v>
      </c>
      <c r="W47" s="26">
        <f>W18</f>
        <v>0.6093834490932154</v>
      </c>
      <c r="X47" s="26"/>
      <c r="Y47" s="26" t="str">
        <f>Y18</f>
        <v> </v>
      </c>
      <c r="Z47" s="26">
        <f>Z18</f>
      </c>
      <c r="AA47" s="26">
        <f>AA18</f>
        <v>-100</v>
      </c>
      <c r="AB47" s="26">
        <f>AB18</f>
        <v>7.32</v>
      </c>
      <c r="AC47" s="26">
        <f>AC18</f>
        <v>7.32</v>
      </c>
      <c r="AD47" s="61">
        <f>AD18</f>
        <v>98</v>
      </c>
      <c r="AE47" s="26">
        <f>AE19</f>
      </c>
      <c r="AF47" s="26">
        <f>AF18</f>
        <v>0.08000000000000007</v>
      </c>
      <c r="AG47" s="26">
        <f>AG18</f>
        <v>0.3200000000000003</v>
      </c>
      <c r="AH47" s="26">
        <f>AH18</f>
      </c>
      <c r="AI47" s="26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5"/>
      <c r="BJ47" s="5"/>
      <c r="BK47" s="5"/>
      <c r="BL47" s="5"/>
    </row>
    <row r="48" spans="1:64" x14ac:dyDescent="0.25">
      <c r="A48" s="112"/>
      <c r="B48" s="113"/>
      <c r="C48" s="2"/>
      <c r="D48" s="2"/>
      <c r="E48" s="149"/>
      <c r="F48" s="5"/>
      <c r="G48" s="5"/>
      <c r="H48" s="5"/>
      <c r="I48" s="5"/>
      <c r="J48" s="5"/>
      <c r="K48" s="5"/>
      <c r="L48" s="5"/>
      <c r="M48" s="5"/>
      <c r="N48" s="150"/>
      <c r="O48" s="3"/>
      <c r="P48" s="3"/>
      <c r="Q48" s="3"/>
      <c r="R48" s="59">
        <f>R19</f>
        <v>7.212499999999993</v>
      </c>
      <c r="S48" s="26">
        <f>S18</f>
        <v>1.0104983405820285</v>
      </c>
      <c r="T48" s="26">
        <f>T18</f>
        <v>1.0104983405820285</v>
      </c>
      <c r="U48" s="26"/>
      <c r="V48" s="26">
        <f>V19</f>
        <v>7.3249999999999975</v>
      </c>
      <c r="W48" s="26">
        <f>W18</f>
        <v>0.33235134150229534</v>
      </c>
      <c r="X48" s="26"/>
      <c r="Y48" s="26" t="str">
        <f>Y18</f>
        <v> </v>
      </c>
      <c r="Z48" s="26">
        <f>Z18</f>
      </c>
      <c r="AA48" s="26">
        <f>AA18</f>
        <v>-100</v>
      </c>
      <c r="AB48" s="26">
        <f>AB18</f>
        <v>7.325</v>
      </c>
      <c r="AC48" s="26">
        <f>AC18</f>
        <v>7.325</v>
      </c>
      <c r="AD48" s="61">
        <f>AD18</f>
        <v>98</v>
      </c>
      <c r="AE48" s="26">
        <f>AE19</f>
      </c>
      <c r="AF48" s="26">
        <f>AF18</f>
        <v>0.07500000000000018</v>
      </c>
      <c r="AG48" s="26">
        <f>AG18</f>
        <v>0.3250000000000002</v>
      </c>
      <c r="AH48" s="26">
        <f>AH18</f>
      </c>
      <c r="AI48" s="26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5"/>
      <c r="BJ48" s="5"/>
      <c r="BK48" s="5"/>
      <c r="BL48" s="5"/>
    </row>
    <row r="49" spans="1:64" x14ac:dyDescent="0.25">
      <c r="A49" s="112"/>
      <c r="B49" s="113"/>
      <c r="C49" s="2"/>
      <c r="D49" s="2"/>
      <c r="E49" s="149"/>
      <c r="F49" s="5"/>
      <c r="G49" s="5"/>
      <c r="H49" s="5"/>
      <c r="I49" s="5"/>
      <c r="J49" s="5"/>
      <c r="K49" s="5"/>
      <c r="L49" s="5"/>
      <c r="M49" s="5"/>
      <c r="N49" s="150"/>
      <c r="O49" s="3"/>
      <c r="P49" s="3"/>
      <c r="Q49" s="3"/>
      <c r="R49" s="59">
        <f>R19</f>
        <v>7.213749999999993</v>
      </c>
      <c r="S49" s="26">
        <f>S18</f>
        <v>1.234560132608672</v>
      </c>
      <c r="T49" s="26">
        <f>T18</f>
        <v>1.234560132608672</v>
      </c>
      <c r="U49" s="26"/>
      <c r="V49" s="26">
        <f>V19</f>
        <v>7.329999999999997</v>
      </c>
      <c r="W49" s="26">
        <f>W18</f>
        <v>0.1724171073807744</v>
      </c>
      <c r="X49" s="26"/>
      <c r="Y49" s="26" t="str">
        <f>Y18</f>
        <v> </v>
      </c>
      <c r="Z49" s="26">
        <f>Z18</f>
      </c>
      <c r="AA49" s="26">
        <f>AA18</f>
        <v>-100</v>
      </c>
      <c r="AB49" s="26">
        <f>AB18</f>
        <v>7.33</v>
      </c>
      <c r="AC49" s="26">
        <f>AC18</f>
        <v>7.33</v>
      </c>
      <c r="AD49" s="61">
        <f>AD18</f>
        <v>98</v>
      </c>
      <c r="AE49" s="26">
        <f>AE19</f>
      </c>
      <c r="AF49" s="26">
        <f>AF18</f>
        <v>0.07000000000000028</v>
      </c>
      <c r="AG49" s="26">
        <f>AG18</f>
        <v>0.33000000000000007</v>
      </c>
      <c r="AH49" s="26">
        <f>AH18</f>
      </c>
      <c r="AI49" s="26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5"/>
      <c r="BJ49" s="5"/>
      <c r="BK49" s="5"/>
      <c r="BL49" s="5"/>
    </row>
    <row r="50" spans="1:64" x14ac:dyDescent="0.25">
      <c r="A50" s="112"/>
      <c r="B50" s="111"/>
      <c r="C50" s="2"/>
      <c r="D50" s="2"/>
      <c r="E50" s="149"/>
      <c r="F50" s="5"/>
      <c r="G50" s="5"/>
      <c r="H50" s="5"/>
      <c r="I50" s="5"/>
      <c r="J50" s="5"/>
      <c r="K50" s="5"/>
      <c r="L50" s="5"/>
      <c r="M50" s="5"/>
      <c r="N50" s="150"/>
      <c r="O50" s="3"/>
      <c r="P50" s="3"/>
      <c r="Q50" s="3"/>
      <c r="R50" s="59">
        <f>R19</f>
        <v>7.214999999999993</v>
      </c>
      <c r="S50" s="26">
        <f>S18</f>
        <v>1.488365557705387</v>
      </c>
      <c r="T50" s="26">
        <f>T18</f>
        <v>1.488365557705387</v>
      </c>
      <c r="U50" s="26"/>
      <c r="V50" s="26">
        <f>V19</f>
        <v>7.334999999999997</v>
      </c>
      <c r="W50" s="26">
        <f>W18</f>
        <v>0.08508233700798816</v>
      </c>
      <c r="X50" s="26"/>
      <c r="Y50" s="26" t="str">
        <f>Y18</f>
        <v>7.335000</v>
      </c>
      <c r="Z50" s="26">
        <f>Z18</f>
        <v>2</v>
      </c>
      <c r="AA50" s="26">
        <f>AA18</f>
        <v>1</v>
      </c>
      <c r="AB50" s="26">
        <f>AB18</f>
        <v>7.335</v>
      </c>
      <c r="AC50" s="26">
        <f>AC18</f>
        <v>7.335</v>
      </c>
      <c r="AD50" s="61">
        <f>AD18</f>
        <v>98</v>
      </c>
      <c r="AE50" s="26">
        <f>AE19</f>
        <v>1</v>
      </c>
      <c r="AF50" s="26">
        <f>AF18</f>
        <v>0.06500000000000039</v>
      </c>
      <c r="AG50" s="26">
        <f>AG18</f>
        <v>0.33499999999999996</v>
      </c>
      <c r="AH50" s="26">
        <f>AH18</f>
      </c>
      <c r="AI50" s="26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5"/>
      <c r="BJ50" s="5"/>
      <c r="BK50" s="5"/>
      <c r="BL50" s="5"/>
    </row>
    <row r="51" spans="1:64" x14ac:dyDescent="0.25">
      <c r="A51" s="112"/>
      <c r="B51" s="113"/>
      <c r="C51" s="2"/>
      <c r="D51" s="2"/>
      <c r="E51" s="149"/>
      <c r="F51" s="5"/>
      <c r="G51" s="5"/>
      <c r="H51" s="5"/>
      <c r="I51" s="5"/>
      <c r="J51" s="5"/>
      <c r="K51" s="5"/>
      <c r="L51" s="5"/>
      <c r="M51" s="5"/>
      <c r="N51" s="150"/>
      <c r="O51" s="3"/>
      <c r="P51" s="3"/>
      <c r="Q51" s="3"/>
      <c r="R51" s="59">
        <f>R19</f>
        <v>7.2162499999999925</v>
      </c>
      <c r="S51" s="26">
        <f>S18</f>
        <v>1.7736626358038836</v>
      </c>
      <c r="T51" s="26">
        <f>T18</f>
        <v>1.7736626358038836</v>
      </c>
      <c r="U51" s="26"/>
      <c r="V51" s="26">
        <f>V19</f>
        <v>7.339999999999997</v>
      </c>
      <c r="W51" s="26">
        <f>W18</f>
        <v>0.03993692320829989</v>
      </c>
      <c r="X51" s="26"/>
      <c r="Y51" s="26" t="str">
        <f>Y18</f>
        <v> </v>
      </c>
      <c r="Z51" s="26">
        <f>Z18</f>
        <v>2</v>
      </c>
      <c r="AA51" s="26">
        <f>AA18</f>
        <v>-100</v>
      </c>
      <c r="AB51" s="26">
        <f>AB18</f>
        <v>7.34</v>
      </c>
      <c r="AC51" s="26">
        <f>AC18</f>
        <v>7.34</v>
      </c>
      <c r="AD51" s="61">
        <f>AD18</f>
        <v>99</v>
      </c>
      <c r="AE51" s="26">
        <f>AE19</f>
      </c>
      <c r="AF51" s="26">
        <f>AF18</f>
        <v>0.0600000000000005</v>
      </c>
      <c r="AG51" s="26">
        <f>AG18</f>
        <v>0.33999999999999986</v>
      </c>
      <c r="AH51" s="26">
        <f>AH18</f>
      </c>
      <c r="AI51" s="26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5"/>
      <c r="BJ51" s="5"/>
      <c r="BK51" s="5"/>
      <c r="BL51" s="5"/>
    </row>
    <row r="52" ht="15.75" customHeight="1" spans="1:64" x14ac:dyDescent="0.25">
      <c r="A52" s="112"/>
      <c r="B52" s="111"/>
      <c r="C52" s="2"/>
      <c r="D52" s="2"/>
      <c r="E52" s="149"/>
      <c r="F52" s="5"/>
      <c r="G52" s="5"/>
      <c r="H52" s="5"/>
      <c r="I52" s="5"/>
      <c r="J52" s="5"/>
      <c r="K52" s="5"/>
      <c r="L52" s="5"/>
      <c r="M52" s="5"/>
      <c r="N52" s="150"/>
      <c r="O52" s="3"/>
      <c r="P52" s="3"/>
      <c r="Q52" s="3"/>
      <c r="R52" s="59">
        <f>R19</f>
        <v>7.217499999999992</v>
      </c>
      <c r="S52" s="26">
        <f>S18</f>
        <v>2.091999980805993</v>
      </c>
      <c r="T52" s="26">
        <f>T18</f>
        <v>2.091999980805993</v>
      </c>
      <c r="U52" s="26"/>
      <c r="V52" s="26">
        <f>V19</f>
        <v>7.344999999999997</v>
      </c>
      <c r="W52" s="26">
        <f>W18</f>
        <v>0.017831420149392155</v>
      </c>
      <c r="X52" s="26"/>
      <c r="Y52" s="26" t="str">
        <f>Y18</f>
        <v> </v>
      </c>
      <c r="Z52" s="26">
        <f>Z18</f>
        <v>2</v>
      </c>
      <c r="AA52" s="26">
        <f>AA18</f>
        <v>-100</v>
      </c>
      <c r="AB52" s="26">
        <f>AB18</f>
        <v>7.345</v>
      </c>
      <c r="AC52" s="26">
        <f>AC18</f>
        <v>7.345</v>
      </c>
      <c r="AD52" s="61">
        <f>AD18</f>
        <v>99</v>
      </c>
      <c r="AE52" s="26">
        <f>AE19</f>
        <v>1</v>
      </c>
      <c r="AF52" s="26">
        <f>AF18</f>
        <v>0.055000000000000604</v>
      </c>
      <c r="AG52" s="26">
        <f>AG18</f>
        <v>0.34499999999999975</v>
      </c>
      <c r="AH52" s="26">
        <f>AH18</f>
      </c>
      <c r="AI52" s="26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5"/>
      <c r="BJ52" s="5"/>
      <c r="BK52" s="5"/>
      <c r="BL52" s="5"/>
    </row>
    <row r="53" spans="1:64" x14ac:dyDescent="0.25">
      <c r="A53" s="112"/>
      <c r="B53" s="113"/>
      <c r="C53" s="2"/>
      <c r="D53" s="2"/>
      <c r="E53" s="149"/>
      <c r="F53" s="5"/>
      <c r="G53" s="5"/>
      <c r="H53" s="5"/>
      <c r="I53" s="5"/>
      <c r="J53" s="5"/>
      <c r="K53" s="5"/>
      <c r="L53" s="5"/>
      <c r="M53" s="5"/>
      <c r="N53" s="150"/>
      <c r="O53" s="3"/>
      <c r="P53" s="3"/>
      <c r="Q53" s="3"/>
      <c r="R53" s="59">
        <f>R19</f>
        <v>7.218749999999992</v>
      </c>
      <c r="S53" s="26">
        <f>S18</f>
        <v>2.444676157882983</v>
      </c>
      <c r="T53" s="26">
        <f>T18</f>
        <v>2.444676157882983</v>
      </c>
      <c r="U53" s="26"/>
      <c r="V53" s="26">
        <f>V19</f>
        <v>7.349999999999997</v>
      </c>
      <c r="W53" s="26">
        <f>W18</f>
        <v>0.007573094917295719</v>
      </c>
      <c r="X53" s="26"/>
      <c r="Y53" s="26" t="str">
        <f>Y18</f>
        <v> </v>
      </c>
      <c r="Z53" s="26">
        <f>Z18</f>
        <v>2</v>
      </c>
      <c r="AA53" s="26">
        <f>AA18</f>
        <v>-100</v>
      </c>
      <c r="AB53" s="26">
        <f>AB18</f>
        <v>7.35</v>
      </c>
      <c r="AC53" s="26">
        <f>AC18</f>
        <v>7.35</v>
      </c>
      <c r="AD53" s="61">
        <f>AD18</f>
        <v>100</v>
      </c>
      <c r="AE53" s="26">
        <f>AE19</f>
      </c>
      <c r="AF53" s="26">
        <f>AF18</f>
        <v>0.05000000000000071</v>
      </c>
      <c r="AG53" s="26">
        <f>AG18</f>
        <v>0.34999999999999964</v>
      </c>
      <c r="AH53" s="26">
        <f>AH18</f>
      </c>
      <c r="AI53" s="26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5"/>
      <c r="BJ53" s="5"/>
      <c r="BK53" s="5"/>
      <c r="BL53" s="5"/>
    </row>
    <row r="54" spans="1:64" x14ac:dyDescent="0.25">
      <c r="A54" s="112"/>
      <c r="B54" s="111"/>
      <c r="C54" s="2"/>
      <c r="D54" s="2"/>
      <c r="E54" s="149"/>
      <c r="F54" s="5"/>
      <c r="G54" s="5"/>
      <c r="H54" s="5"/>
      <c r="I54" s="5"/>
      <c r="J54" s="5"/>
      <c r="K54" s="5"/>
      <c r="L54" s="5"/>
      <c r="M54" s="5"/>
      <c r="N54" s="150"/>
      <c r="O54" s="3"/>
      <c r="P54" s="3"/>
      <c r="Q54" s="3"/>
      <c r="R54" s="59">
        <f>R19</f>
        <v>7.219999999999992</v>
      </c>
      <c r="S54" s="26">
        <f>S18</f>
        <v>2.832688529707269</v>
      </c>
      <c r="T54" s="26">
        <f>T18</f>
        <v>2.832688529707269</v>
      </c>
      <c r="U54" s="26"/>
      <c r="V54" s="26">
        <f>V19</f>
        <v>7.354999999999997</v>
      </c>
      <c r="W54" s="26">
        <f>W18</f>
        <v>0.0030594052256252063</v>
      </c>
      <c r="X54" s="26"/>
      <c r="Y54" s="26" t="str">
        <f>Y18</f>
        <v>7.355000</v>
      </c>
      <c r="Z54" s="26">
        <f>Z18</f>
      </c>
      <c r="AA54" s="26">
        <f>AA18</f>
        <v>1</v>
      </c>
      <c r="AB54" s="26">
        <f>AB18</f>
        <v>7.355</v>
      </c>
      <c r="AC54" s="26">
        <f>AC18</f>
        <v>7.355</v>
      </c>
      <c r="AD54" s="61">
        <f>AD18</f>
        <v>100</v>
      </c>
      <c r="AE54" s="26">
        <f>AE19</f>
      </c>
      <c r="AF54" s="26">
        <f>AF18</f>
        <v>0.04499999999999993</v>
      </c>
      <c r="AG54" s="26">
        <f>AG18</f>
        <v>0.3550000000000004</v>
      </c>
      <c r="AH54" s="26">
        <f>AH18</f>
      </c>
      <c r="AI54" s="26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5"/>
      <c r="BJ54" s="5"/>
      <c r="BK54" s="5"/>
      <c r="BL54" s="5"/>
    </row>
    <row r="55" spans="1:64" x14ac:dyDescent="0.25">
      <c r="A55" s="112"/>
      <c r="B55" s="113"/>
      <c r="C55" s="2"/>
      <c r="D55" s="2"/>
      <c r="E55" s="149"/>
      <c r="F55" s="5"/>
      <c r="G55" s="5"/>
      <c r="H55" s="5"/>
      <c r="I55" s="5"/>
      <c r="J55" s="5"/>
      <c r="K55" s="5"/>
      <c r="L55" s="5"/>
      <c r="M55" s="5"/>
      <c r="N55" s="150"/>
      <c r="O55" s="3"/>
      <c r="P55" s="3"/>
      <c r="Q55" s="3"/>
      <c r="R55" s="59">
        <f>R19</f>
        <v>7.2212499999999915</v>
      </c>
      <c r="S55" s="26">
        <f>S18</f>
        <v>3.256682816150423</v>
      </c>
      <c r="T55" s="26">
        <f>T18</f>
        <v>3.256682816150423</v>
      </c>
      <c r="U55" s="26"/>
      <c r="V55" s="26">
        <f>V19</f>
        <v>7.359999999999997</v>
      </c>
      <c r="W55" s="26">
        <f>W18</f>
        <v>0.001175646473047022</v>
      </c>
      <c r="X55" s="26"/>
      <c r="Y55" s="26" t="str">
        <f>Y18</f>
        <v> </v>
      </c>
      <c r="Z55" s="26">
        <f>Z18</f>
      </c>
      <c r="AA55" s="26">
        <f>AA18</f>
        <v>-100</v>
      </c>
      <c r="AB55" s="26">
        <f>AB18</f>
        <v>7.36</v>
      </c>
      <c r="AC55" s="26">
        <f>AC18</f>
        <v>7.36</v>
      </c>
      <c r="AD55" s="61">
        <f>AD18</f>
        <v>100</v>
      </c>
      <c r="AE55" s="26">
        <f>AE19</f>
      </c>
      <c r="AF55" s="26">
        <f>AF18</f>
        <v>0.040000000000000036</v>
      </c>
      <c r="AG55" s="26">
        <f>AG18</f>
        <v>0.3600000000000003</v>
      </c>
      <c r="AH55" s="26">
        <f>AH18</f>
      </c>
      <c r="AI55" s="26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5"/>
      <c r="BJ55" s="5"/>
      <c r="BK55" s="5"/>
      <c r="BL55" s="5"/>
    </row>
    <row r="56" ht="15.75" customHeight="1" spans="1:64" x14ac:dyDescent="0.25">
      <c r="A56" s="112"/>
      <c r="B56" s="111"/>
      <c r="C56" s="2"/>
      <c r="D56" s="2"/>
      <c r="E56" s="151"/>
      <c r="F56" s="152"/>
      <c r="G56" s="152"/>
      <c r="H56" s="152"/>
      <c r="I56" s="152"/>
      <c r="J56" s="152"/>
      <c r="K56" s="152"/>
      <c r="L56" s="152"/>
      <c r="M56" s="152"/>
      <c r="N56" s="153"/>
      <c r="O56" s="3"/>
      <c r="P56" s="3"/>
      <c r="Q56" s="3"/>
      <c r="R56" s="59">
        <f>R19</f>
        <v>7.222499999999991</v>
      </c>
      <c r="S56" s="26">
        <f>S18</f>
        <v>3.7169047050748434</v>
      </c>
      <c r="T56" s="26">
        <f>T18</f>
        <v>3.7169047050748434</v>
      </c>
      <c r="U56" s="26"/>
      <c r="V56" s="26">
        <f>V19</f>
        <v>7.364999999999997</v>
      </c>
      <c r="W56" s="26">
        <f>W18</f>
        <v>0.00042972698222125676</v>
      </c>
      <c r="X56" s="26"/>
      <c r="Y56" s="26" t="str">
        <f>Y18</f>
        <v> </v>
      </c>
      <c r="Z56" s="26">
        <f>Z18</f>
      </c>
      <c r="AA56" s="26">
        <f>AA18</f>
        <v>-100</v>
      </c>
      <c r="AB56" s="26">
        <f>AB18</f>
        <v>7.365</v>
      </c>
      <c r="AC56" s="26">
        <f>AC18</f>
        <v>7.365</v>
      </c>
      <c r="AD56" s="61">
        <f>AD18</f>
        <v>100</v>
      </c>
      <c r="AE56" s="26">
        <f>AE19</f>
      </c>
      <c r="AF56" s="26">
        <f>AF18</f>
        <v>0.03500000000000014</v>
      </c>
      <c r="AG56" s="26">
        <f>AG18</f>
        <v>0.3650000000000002</v>
      </c>
      <c r="AH56" s="26">
        <f>AH18</f>
      </c>
      <c r="AI56" s="26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5"/>
      <c r="BJ56" s="5"/>
      <c r="BK56" s="5"/>
      <c r="BL56" s="5"/>
    </row>
    <row r="57" ht="15.75" customHeight="1" spans="1:64" x14ac:dyDescent="0.25">
      <c r="A57" s="112"/>
      <c r="B57" s="111"/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59">
        <f>R19</f>
        <v>7.223749999999991</v>
      </c>
      <c r="S57" s="26">
        <f>S18</f>
        <v>4.213154933536638</v>
      </c>
      <c r="T57" s="26">
        <f>T18</f>
        <v>4.213154933536638</v>
      </c>
      <c r="U57" s="26"/>
      <c r="V57" s="26">
        <f>V19</f>
        <v>7.3699999999999966</v>
      </c>
      <c r="W57" s="26">
        <f>W18</f>
        <v>0.00014941171091446145</v>
      </c>
      <c r="X57" s="26"/>
      <c r="Y57" s="26" t="str">
        <f>Y18</f>
        <v> </v>
      </c>
      <c r="Z57" s="26">
        <f>Z18</f>
      </c>
      <c r="AA57" s="26">
        <f>AA18</f>
        <v>-100</v>
      </c>
      <c r="AB57" s="26">
        <f>AB18</f>
        <v>7.37</v>
      </c>
      <c r="AC57" s="26">
        <f>AC18</f>
        <v>7.37</v>
      </c>
      <c r="AD57" s="61">
        <f>AD18</f>
        <v>100</v>
      </c>
      <c r="AE57" s="26">
        <f>AE19</f>
      </c>
      <c r="AF57" s="26">
        <f>AF18</f>
        <v>0.03000000000000025</v>
      </c>
      <c r="AG57" s="26">
        <f>AG18</f>
        <v>0.3700000000000001</v>
      </c>
      <c r="AH57" s="26">
        <f>AH18</f>
      </c>
      <c r="AI57" s="26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5"/>
      <c r="BJ57" s="5"/>
      <c r="BK57" s="5"/>
      <c r="BL57" s="5"/>
    </row>
    <row r="58" spans="1:64" x14ac:dyDescent="0.25">
      <c r="A58" s="112"/>
      <c r="B58" s="111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59">
        <f>R19</f>
        <v>7.224999999999991</v>
      </c>
      <c r="S58" s="26">
        <f>S18</f>
        <v>4.744749302730048</v>
      </c>
      <c r="T58" s="26">
        <f>T18</f>
        <v>4.744749302730048</v>
      </c>
      <c r="U58" s="26"/>
      <c r="V58" s="26">
        <f>V19</f>
        <v>7.3749999999999964</v>
      </c>
      <c r="W58" s="26">
        <f>W18</f>
        <v>0.000049414316356699624</v>
      </c>
      <c r="X58" s="26"/>
      <c r="Y58" s="26" t="str">
        <f>Y18</f>
        <v>7.375000</v>
      </c>
      <c r="Z58" s="26">
        <f>Z18</f>
      </c>
      <c r="AA58" s="26">
        <f>AA18</f>
        <v>1</v>
      </c>
      <c r="AB58" s="26">
        <f>AB18</f>
        <v>7.375</v>
      </c>
      <c r="AC58" s="26">
        <f>AC18</f>
        <v>7.375</v>
      </c>
      <c r="AD58" s="61">
        <f>AD18</f>
        <v>100</v>
      </c>
      <c r="AE58" s="26">
        <f>AE19</f>
      </c>
      <c r="AF58" s="26">
        <f>AF18</f>
        <v>0.025000000000000355</v>
      </c>
      <c r="AG58" s="26">
        <f>AG18</f>
        <v>0.375</v>
      </c>
      <c r="AH58" s="26">
        <f>AH18</f>
      </c>
      <c r="AI58" s="26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5"/>
      <c r="BJ58" s="5"/>
      <c r="BK58" s="5"/>
      <c r="BL58" s="5"/>
    </row>
    <row r="59" spans="1:64" x14ac:dyDescent="0.25">
      <c r="A59" s="112"/>
      <c r="B59" s="113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59">
        <f>R19</f>
        <v>7.2262499999999905</v>
      </c>
      <c r="S59" s="26">
        <f>S18</f>
        <v>5.310485090909627</v>
      </c>
      <c r="T59" s="26">
        <f>T18</f>
        <v>5.310485090909627</v>
      </c>
      <c r="U59" s="26"/>
      <c r="V59" s="26">
        <f>V19</f>
        <v>7.379999999999996</v>
      </c>
      <c r="W59" s="26">
        <f>W18</f>
        <v>0.000015545227450741558</v>
      </c>
      <c r="X59" s="26"/>
      <c r="Y59" s="26" t="str">
        <f>Y18</f>
        <v> </v>
      </c>
      <c r="Z59" s="26">
        <f>Z18</f>
      </c>
      <c r="AA59" s="26">
        <f>AA18</f>
        <v>-100</v>
      </c>
      <c r="AB59" s="26">
        <f>AB18</f>
        <v>7.38</v>
      </c>
      <c r="AC59" s="26">
        <f>AC18</f>
        <v>7.38</v>
      </c>
      <c r="AD59" s="61">
        <f>AD18</f>
        <v>100</v>
      </c>
      <c r="AE59" s="26">
        <f>AE19</f>
      </c>
      <c r="AF59" s="26">
        <f>AF18</f>
        <v>0.020000000000000462</v>
      </c>
      <c r="AG59" s="26">
        <f>AG18</f>
        <v>0.3799999999999999</v>
      </c>
      <c r="AH59" s="26">
        <f>AH18</f>
      </c>
      <c r="AI59" s="26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5"/>
      <c r="BJ59" s="5"/>
      <c r="BK59" s="5"/>
      <c r="BL59" s="5"/>
    </row>
    <row r="60" spans="1:64" x14ac:dyDescent="0.25">
      <c r="A60" s="112"/>
      <c r="B60" s="111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59">
        <f>R19</f>
        <v>7.22749999999999</v>
      </c>
      <c r="S60" s="26">
        <f>S18</f>
        <v>5.908615282063478</v>
      </c>
      <c r="T60" s="26">
        <f>T18</f>
        <v>5.908615282063478</v>
      </c>
      <c r="U60" s="26"/>
      <c r="V60" s="26">
        <f>V19</f>
        <v>7.384999999999996</v>
      </c>
      <c r="W60" s="26">
        <f>W18</f>
        <v>0.000004651762222705115</v>
      </c>
      <c r="X60" s="26"/>
      <c r="Y60" s="26" t="str">
        <f>Y18</f>
        <v> </v>
      </c>
      <c r="Z60" s="26">
        <f>Z18</f>
      </c>
      <c r="AA60" s="26">
        <f>AA18</f>
        <v>-100</v>
      </c>
      <c r="AB60" s="26">
        <f>AB18</f>
        <v>7.385</v>
      </c>
      <c r="AC60" s="26">
        <f>AC18</f>
        <v>7.385</v>
      </c>
      <c r="AD60" s="61">
        <f>AD18</f>
        <v>100</v>
      </c>
      <c r="AE60" s="26">
        <f>AE19</f>
      </c>
      <c r="AF60" s="26">
        <f>AF18</f>
        <v>0.015000000000000568</v>
      </c>
      <c r="AG60" s="26">
        <f>AG18</f>
        <v>0.3849999999999998</v>
      </c>
      <c r="AH60" s="26">
        <f>AH18</f>
      </c>
      <c r="AI60" s="26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5"/>
      <c r="BJ60" s="5"/>
      <c r="BK60" s="5"/>
      <c r="BL60" s="5"/>
    </row>
    <row r="61" spans="1:64" x14ac:dyDescent="0.25">
      <c r="A61" s="112"/>
      <c r="B61" s="113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59">
        <f>R19</f>
        <v>7.22874999999999</v>
      </c>
      <c r="S61" s="26">
        <f>S18</f>
        <v>6.536831931484661</v>
      </c>
      <c r="T61" s="26">
        <f>T18</f>
        <v>6.536831931484661</v>
      </c>
      <c r="U61" s="26"/>
      <c r="V61" s="26">
        <f>V19</f>
        <v>7.389999999999996</v>
      </c>
      <c r="W61" s="26">
        <f>W18</f>
        <v>0.0000013240795288245677</v>
      </c>
      <c r="X61" s="26"/>
      <c r="Y61" s="26" t="str">
        <f>Y18</f>
        <v> </v>
      </c>
      <c r="Z61" s="26">
        <f>Z18</f>
      </c>
      <c r="AA61" s="26">
        <f>AA18</f>
        <v>-100</v>
      </c>
      <c r="AB61" s="26">
        <f>AB18</f>
        <v>7.39</v>
      </c>
      <c r="AC61" s="26">
        <f>AC18</f>
        <v>7.39</v>
      </c>
      <c r="AD61" s="61">
        <f>AD18</f>
        <v>100</v>
      </c>
      <c r="AE61" s="26">
        <f>AE19</f>
      </c>
      <c r="AF61" s="26">
        <f>AF18</f>
        <v>0.010000000000000675</v>
      </c>
      <c r="AG61" s="26">
        <f>AG18</f>
        <v>0.3899999999999997</v>
      </c>
      <c r="AH61" s="26">
        <f>AH18</f>
      </c>
      <c r="AI61" s="26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5"/>
      <c r="BJ61" s="5"/>
      <c r="BK61" s="5"/>
      <c r="BL61" s="5"/>
    </row>
    <row r="62" spans="1:64" x14ac:dyDescent="0.25">
      <c r="A62" s="112"/>
      <c r="B62" s="111"/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59">
        <f>R19</f>
        <v>7.22999999999999</v>
      </c>
      <c r="S62" s="26">
        <f>S18</f>
        <v>7.192259841531954</v>
      </c>
      <c r="T62" s="26">
        <f>T18</f>
        <v>7.192259841531954</v>
      </c>
      <c r="U62" s="26"/>
      <c r="V62" s="26">
        <f>V19</f>
        <v>7.394999999999996</v>
      </c>
      <c r="W62" s="26">
        <f>W18</f>
        <v>3.584980286887859e-7</v>
      </c>
      <c r="X62" s="26"/>
      <c r="Y62" s="26" t="str">
        <f>Y18</f>
        <v>7.395000</v>
      </c>
      <c r="Z62" s="26">
        <f>Z18</f>
      </c>
      <c r="AA62" s="26">
        <f>AA18</f>
        <v>1</v>
      </c>
      <c r="AB62" s="26">
        <f>AB18</f>
        <v>7.395</v>
      </c>
      <c r="AC62" s="26">
        <f>AC18</f>
        <v>7.395</v>
      </c>
      <c r="AD62" s="61">
        <f>AD18</f>
        <v>100</v>
      </c>
      <c r="AE62" s="26">
        <f>AE19</f>
      </c>
      <c r="AF62" s="26">
        <f>AF18</f>
        <v>0.005000000000000782</v>
      </c>
      <c r="AG62" s="26">
        <f>AG18</f>
        <v>0.3949999999999996</v>
      </c>
      <c r="AH62" s="26">
        <f>AH18</f>
      </c>
      <c r="AI62" s="26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5"/>
      <c r="BJ62" s="5"/>
      <c r="BK62" s="5"/>
      <c r="BL62" s="5"/>
    </row>
    <row r="63" spans="1:64" x14ac:dyDescent="0.25">
      <c r="A63" s="112"/>
      <c r="B63" s="111"/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59">
        <f>R19</f>
        <v>7.2312499999999895</v>
      </c>
      <c r="S63" s="26">
        <f>S18</f>
        <v>7.871461522652945</v>
      </c>
      <c r="T63" s="26">
        <f>T18</f>
        <v>7.871461522652945</v>
      </c>
      <c r="U63" s="26"/>
      <c r="V63" s="26">
        <f>V19</f>
        <v>7.399999999999996</v>
      </c>
      <c r="W63" s="26">
        <f>W18</f>
        <v>9.232846382919671e-8</v>
      </c>
      <c r="X63" s="26"/>
      <c r="Y63" s="26" t="str">
        <f>Y18</f>
        <v> </v>
      </c>
      <c r="Z63" s="26">
        <f>Z18</f>
      </c>
      <c r="AA63" s="26">
        <f>AA18</f>
        <v>-100</v>
      </c>
      <c r="AB63" s="26">
        <f>AB18</f>
        <v>7.4</v>
      </c>
      <c r="AC63" s="26">
        <f>AC18</f>
        <v>7.4</v>
      </c>
      <c r="AD63" s="61">
        <f>AD18</f>
        <v>100</v>
      </c>
      <c r="AE63" s="26">
        <f>AE19</f>
      </c>
      <c r="AF63" s="26">
        <f>AF18</f>
      </c>
      <c r="AG63" s="26">
        <f>AG18</f>
        <v>0.40000000000000036</v>
      </c>
      <c r="AH63" s="26">
        <f>AH18</f>
        <v>1</v>
      </c>
      <c r="AI63" s="26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5"/>
      <c r="BJ63" s="5"/>
      <c r="BK63" s="5"/>
      <c r="BL63" s="5"/>
    </row>
    <row r="64" spans="1:64" x14ac:dyDescent="0.25">
      <c r="A64" s="112"/>
      <c r="B64" s="111"/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59">
        <f>R19</f>
        <v>7.232499999999989</v>
      </c>
      <c r="S64" s="26">
        <f>S18</f>
        <v>8.570454169095937</v>
      </c>
      <c r="T64" s="26">
        <f>T18</f>
        <v>8.570454169095937</v>
      </c>
      <c r="U64" s="26"/>
      <c r="V64" s="26">
        <f>V19</f>
        <v>7.404999999999996</v>
      </c>
      <c r="W64" s="26">
        <f>W18</f>
        <v>2.261833253309654e-8</v>
      </c>
      <c r="X64" s="26"/>
      <c r="Y64" s="26" t="str">
        <f>Y18</f>
        <v> </v>
      </c>
      <c r="Z64" s="26">
        <f>Z18</f>
      </c>
      <c r="AA64" s="26">
        <f>AA18</f>
        <v>-100</v>
      </c>
      <c r="AB64" s="26">
        <f>AB18</f>
        <v>7.405</v>
      </c>
      <c r="AC64" s="26">
        <f>AC18</f>
        <v>7.405</v>
      </c>
      <c r="AD64" s="61">
        <f>AD18</f>
        <v>100</v>
      </c>
      <c r="AE64" s="26">
        <f>AE19</f>
      </c>
      <c r="AF64" s="26">
        <f>AF18</f>
        <v>0.004999999999999893</v>
      </c>
      <c r="AG64" s="26">
        <f>AG18</f>
        <v>0.40500000000000025</v>
      </c>
      <c r="AH64" s="26">
        <f>AH18</f>
      </c>
      <c r="AI64" s="26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5"/>
      <c r="BJ64" s="5"/>
      <c r="BK64" s="5"/>
      <c r="BL64" s="5"/>
    </row>
    <row r="65" spans="1:64" x14ac:dyDescent="0.25">
      <c r="A65" s="112"/>
      <c r="B65" s="113"/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59">
        <f>R19</f>
        <v>7.233749999999989</v>
      </c>
      <c r="S65" s="26">
        <f>S18</f>
        <v>9.284739090711193</v>
      </c>
      <c r="T65" s="26">
        <f>T18</f>
        <v>9.284739090711193</v>
      </c>
      <c r="U65" s="26"/>
      <c r="V65" s="26">
        <f>V19</f>
        <v>7.409999999999996</v>
      </c>
      <c r="W65" s="26">
        <f>W18</f>
        <v>5.2706198922803495e-9</v>
      </c>
      <c r="X65" s="26"/>
      <c r="Y65" s="26" t="str">
        <f>Y18</f>
        <v> </v>
      </c>
      <c r="Z65" s="26">
        <f>Z18</f>
      </c>
      <c r="AA65" s="26">
        <f>AA18</f>
        <v>-100</v>
      </c>
      <c r="AB65" s="26">
        <f>AB18</f>
        <v>7.41</v>
      </c>
      <c r="AC65" s="26">
        <f>AC18</f>
        <v>7.41</v>
      </c>
      <c r="AD65" s="61">
        <f>AD18</f>
        <v>100</v>
      </c>
      <c r="AE65" s="26">
        <f>AE19</f>
      </c>
      <c r="AF65" s="26">
        <f>AF18</f>
        <v>0.009999999999999787</v>
      </c>
      <c r="AG65" s="26">
        <f>AG18</f>
        <v>0.41000000000000014</v>
      </c>
      <c r="AH65" s="26">
        <f>AH18</f>
      </c>
      <c r="AI65" s="26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5"/>
      <c r="BJ65" s="5"/>
      <c r="BK65" s="5"/>
      <c r="BL65" s="5"/>
    </row>
    <row r="66" spans="1:64" x14ac:dyDescent="0.25">
      <c r="A66" s="112"/>
      <c r="B66" s="113"/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59">
        <f>R19</f>
        <v>7.234999999999989</v>
      </c>
      <c r="S66" s="26">
        <f>S18</f>
        <v>10.009343718956332</v>
      </c>
      <c r="T66" s="26">
        <f>T18</f>
        <v>10.009343718956332</v>
      </c>
      <c r="U66" s="26"/>
      <c r="V66" s="26">
        <f>V19</f>
        <v>7.414999999999996</v>
      </c>
      <c r="W66" s="26">
        <f>W18</f>
        <v>1.1682584903179907e-9</v>
      </c>
      <c r="X66" s="26"/>
      <c r="Y66" s="26" t="str">
        <f>Y18</f>
        <v>7.415000</v>
      </c>
      <c r="Z66" s="26">
        <f>Z18</f>
      </c>
      <c r="AA66" s="26">
        <f>AA18</f>
        <v>1</v>
      </c>
      <c r="AB66" s="26">
        <f>AB18</f>
        <v>7.415</v>
      </c>
      <c r="AC66" s="26">
        <f>AC18</f>
        <v>7.415</v>
      </c>
      <c r="AD66" s="61">
        <f>AD18</f>
        <v>100</v>
      </c>
      <c r="AE66" s="26">
        <f>AE19</f>
      </c>
      <c r="AF66" s="26">
        <f>AF18</f>
        <v>0.01499999999999968</v>
      </c>
      <c r="AG66" s="26">
        <f>AG18</f>
        <v>0.41500000000000004</v>
      </c>
      <c r="AH66" s="26">
        <f>AH18</f>
      </c>
      <c r="AI66" s="26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5"/>
      <c r="BJ66" s="5"/>
      <c r="BK66" s="5"/>
      <c r="BL66" s="5"/>
    </row>
    <row r="67" spans="1:64" x14ac:dyDescent="0.25">
      <c r="A67" s="112"/>
      <c r="B67" s="111"/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59">
        <f>R19</f>
        <v>7.2362499999999885</v>
      </c>
      <c r="S67" s="26">
        <f>S18</f>
        <v>10.738875955717518</v>
      </c>
      <c r="T67" s="26">
        <f>T18</f>
        <v>10.738875955717518</v>
      </c>
      <c r="U67" s="26"/>
      <c r="V67" s="26"/>
      <c r="W67" s="26"/>
      <c r="X67" s="26">
        <f>ABS(AB66)</f>
        <v>7.415</v>
      </c>
      <c r="Y67" s="26">
        <f>IF(X67&lt;10,1,IF(AND(X67&gt;=10,X67&lt;100),2,IF(AND(X67&gt;=100,X67&lt;1000),3,IF(AND(X67&gt;=1000,X67&lt;10000),4,5))))</f>
        <v>1</v>
      </c>
      <c r="Z67" s="26"/>
      <c r="AA67" s="26"/>
      <c r="AB67" s="26"/>
      <c r="AC67" s="26"/>
      <c r="AD67" s="61">
        <f>AD66</f>
        <v>100</v>
      </c>
      <c r="AE67" s="26"/>
      <c r="AF67" s="26"/>
      <c r="AG67" s="26"/>
      <c r="AH67" s="26"/>
      <c r="AI67" s="26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5"/>
      <c r="BJ67" s="5"/>
      <c r="BK67" s="5"/>
      <c r="BL67" s="5"/>
    </row>
    <row r="68" spans="1:64" x14ac:dyDescent="0.25">
      <c r="A68" s="112"/>
      <c r="B68" s="111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59">
        <f>R19</f>
        <v>7.237499999999988</v>
      </c>
      <c r="S68" s="26">
        <f>S18</f>
        <v>11.467590268559352</v>
      </c>
      <c r="T68" s="26">
        <f>T18</f>
        <v>11.467590268559352</v>
      </c>
      <c r="U68" s="26"/>
      <c r="V68" s="26"/>
      <c r="W68" s="26"/>
      <c r="X68" s="26"/>
      <c r="Y68" s="26"/>
      <c r="Z68" s="26"/>
      <c r="AA68" s="26"/>
      <c r="AB68" s="26"/>
      <c r="AC68" s="26"/>
      <c r="AD68" s="61"/>
      <c r="AE68" s="26"/>
      <c r="AF68" s="26"/>
      <c r="AG68" s="26"/>
      <c r="AH68" s="26"/>
      <c r="AI68" s="26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5"/>
      <c r="BJ68" s="5"/>
      <c r="BK68" s="5"/>
      <c r="BL68" s="5"/>
    </row>
    <row r="69" spans="1:64" x14ac:dyDescent="0.25">
      <c r="A69" s="112"/>
      <c r="B69" s="111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59">
        <f>R19</f>
        <v>7.238749999999988</v>
      </c>
      <c r="S69" s="26">
        <f>S18</f>
        <v>12.189464567578382</v>
      </c>
      <c r="T69" s="26">
        <f>T18</f>
        <v>12.189464567578382</v>
      </c>
      <c r="U69" s="26"/>
      <c r="V69" s="26"/>
      <c r="W69" s="26"/>
      <c r="X69" s="26"/>
      <c r="Y69" s="26"/>
      <c r="Z69" s="26"/>
      <c r="AA69" s="26"/>
      <c r="AB69" s="26"/>
      <c r="AC69" s="26"/>
      <c r="AD69" s="61"/>
      <c r="AE69" s="26"/>
      <c r="AF69" s="26"/>
      <c r="AG69" s="26"/>
      <c r="AH69" s="26"/>
      <c r="AI69" s="26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5"/>
      <c r="BJ69" s="5"/>
      <c r="BK69" s="5"/>
      <c r="BL69" s="5"/>
    </row>
    <row r="70" spans="1:64" x14ac:dyDescent="0.25">
      <c r="A70" s="112"/>
      <c r="B70" s="113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59">
        <f>R19</f>
        <v>7.239999999999988</v>
      </c>
      <c r="S70" s="26">
        <f>S18</f>
        <v>12.898286540124534</v>
      </c>
      <c r="T70" s="26">
        <f>T18</f>
        <v>12.898286540124534</v>
      </c>
      <c r="U70" s="26"/>
      <c r="V70" s="26"/>
      <c r="W70" s="26"/>
      <c r="X70" s="26"/>
      <c r="Y70" s="26"/>
      <c r="Z70" s="26"/>
      <c r="AA70" s="26"/>
      <c r="AB70" s="26"/>
      <c r="AC70" s="26"/>
      <c r="AD70" s="61"/>
      <c r="AE70" s="26"/>
      <c r="AF70" s="26"/>
      <c r="AG70" s="26"/>
      <c r="AH70" s="26"/>
      <c r="AI70" s="26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5"/>
      <c r="BJ70" s="5"/>
      <c r="BK70" s="5"/>
      <c r="BL70" s="5"/>
    </row>
    <row r="71" spans="1:64" x14ac:dyDescent="0.25">
      <c r="A71" s="112"/>
      <c r="B71" s="111"/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59">
        <f>R19</f>
        <v>7.2412499999999875</v>
      </c>
      <c r="S71" s="26">
        <f>S18</f>
        <v>13.587747783646558</v>
      </c>
      <c r="T71" s="26">
        <f>T18</f>
        <v>13.587747783646558</v>
      </c>
      <c r="U71" s="26"/>
      <c r="V71" s="26"/>
      <c r="W71" s="27"/>
      <c r="X71" s="26"/>
      <c r="Y71" s="26"/>
      <c r="Z71" s="26"/>
      <c r="AA71" s="26"/>
      <c r="AB71" s="26"/>
      <c r="AC71" s="26"/>
      <c r="AD71" s="61"/>
      <c r="AE71" s="26"/>
      <c r="AF71" s="26"/>
      <c r="AG71" s="26"/>
      <c r="AH71" s="26"/>
      <c r="AI71" s="26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5"/>
      <c r="BJ71" s="5"/>
      <c r="BK71" s="5"/>
      <c r="BL71" s="5"/>
    </row>
    <row r="72" spans="1:64" x14ac:dyDescent="0.25">
      <c r="A72" s="112"/>
      <c r="B72" s="113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59">
        <f>R19</f>
        <v>7.242499999999987</v>
      </c>
      <c r="S72" s="26">
        <f>S18</f>
        <v>14.251543777051712</v>
      </c>
      <c r="T72" s="26">
        <f>T18</f>
        <v>14.251543777051712</v>
      </c>
      <c r="U72" s="26"/>
      <c r="V72" s="26"/>
      <c r="W72" s="26"/>
      <c r="X72" s="26"/>
      <c r="Y72" s="26"/>
      <c r="Z72" s="26"/>
      <c r="AA72" s="26"/>
      <c r="AB72" s="26"/>
      <c r="AC72" s="26"/>
      <c r="AD72" s="61"/>
      <c r="AE72" s="26"/>
      <c r="AF72" s="26"/>
      <c r="AG72" s="26"/>
      <c r="AH72" s="26"/>
      <c r="AI72" s="26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5"/>
      <c r="BJ72" s="5"/>
      <c r="BK72" s="5"/>
      <c r="BL72" s="5"/>
    </row>
    <row r="73" spans="1:64" x14ac:dyDescent="0.25">
      <c r="A73" s="112"/>
      <c r="B73" s="111"/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59">
        <f>R19</f>
        <v>7.243749999999987</v>
      </c>
      <c r="S73" s="26">
        <f>S18</f>
        <v>14.883477479772488</v>
      </c>
      <c r="T73" s="26">
        <f>T18</f>
        <v>14.883477479772488</v>
      </c>
      <c r="U73" s="26"/>
      <c r="V73" s="26"/>
      <c r="W73" s="26"/>
      <c r="X73" s="26"/>
      <c r="Y73" s="26"/>
      <c r="Z73" s="26"/>
      <c r="AA73" s="26"/>
      <c r="AB73" s="26"/>
      <c r="AC73" s="26"/>
      <c r="AD73" s="61"/>
      <c r="AE73" s="26"/>
      <c r="AF73" s="26"/>
      <c r="AG73" s="26"/>
      <c r="AH73" s="26"/>
      <c r="AI73" s="26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5"/>
      <c r="BJ73" s="5"/>
      <c r="BK73" s="5"/>
      <c r="BL73" s="5"/>
    </row>
    <row r="74" spans="1:64" x14ac:dyDescent="0.25">
      <c r="A74" s="112"/>
      <c r="B74" s="113"/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59">
        <f>R19</f>
        <v>7.244999999999987</v>
      </c>
      <c r="S74" s="26">
        <f>S18</f>
        <v>15.477564156447617</v>
      </c>
      <c r="T74" s="26">
        <f>T18</f>
        <v>15.477564156447617</v>
      </c>
      <c r="U74" s="26"/>
      <c r="V74" s="26"/>
      <c r="W74" s="26"/>
      <c r="X74" s="26"/>
      <c r="Y74" s="26"/>
      <c r="Z74" s="26"/>
      <c r="AA74" s="26"/>
      <c r="AB74" s="26"/>
      <c r="AC74" s="26"/>
      <c r="AD74" s="61"/>
      <c r="AE74" s="26"/>
      <c r="AF74" s="26"/>
      <c r="AG74" s="26"/>
      <c r="AH74" s="26"/>
      <c r="AI74" s="26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5"/>
      <c r="BJ74" s="5"/>
      <c r="BK74" s="5"/>
      <c r="BL74" s="5"/>
    </row>
    <row r="75" spans="1:64" x14ac:dyDescent="0.25">
      <c r="A75" s="112"/>
      <c r="B75" s="111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59">
        <f>R19</f>
        <v>7.2462499999999865</v>
      </c>
      <c r="S75" s="26">
        <f>S18</f>
        <v>16.028134903165032</v>
      </c>
      <c r="T75" s="26">
        <f>T18</f>
        <v>16.028134903165032</v>
      </c>
      <c r="U75" s="26"/>
      <c r="V75" s="26"/>
      <c r="W75" s="26"/>
      <c r="X75" s="26"/>
      <c r="Y75" s="26"/>
      <c r="Z75" s="26"/>
      <c r="AA75" s="26"/>
      <c r="AB75" s="26"/>
      <c r="AC75" s="26"/>
      <c r="AD75" s="61"/>
      <c r="AE75" s="26"/>
      <c r="AF75" s="26"/>
      <c r="AG75" s="26"/>
      <c r="AH75" s="26"/>
      <c r="AI75" s="26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5"/>
      <c r="BJ75" s="5"/>
      <c r="BK75" s="5"/>
      <c r="BL75" s="5"/>
    </row>
    <row r="76" spans="1:64" x14ac:dyDescent="0.25">
      <c r="A76" s="112"/>
      <c r="B76" s="111"/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59">
        <f>R19</f>
        <v>7.247499999999986</v>
      </c>
      <c r="S76" s="26">
        <f>S18</f>
        <v>16.52993630568134</v>
      </c>
      <c r="T76" s="26">
        <f>T18</f>
        <v>16.52993630568134</v>
      </c>
      <c r="U76" s="26"/>
      <c r="V76" s="26"/>
      <c r="W76" s="26"/>
      <c r="X76" s="26"/>
      <c r="Y76" s="26"/>
      <c r="Z76" s="26"/>
      <c r="AA76" s="26"/>
      <c r="AB76" s="26"/>
      <c r="AC76" s="26"/>
      <c r="AD76" s="61"/>
      <c r="AE76" s="26"/>
      <c r="AF76" s="26"/>
      <c r="AG76" s="26"/>
      <c r="AH76" s="26"/>
      <c r="AI76" s="26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5"/>
      <c r="BJ76" s="5"/>
      <c r="BK76" s="5"/>
      <c r="BL76" s="5"/>
    </row>
    <row r="77" spans="1:64" x14ac:dyDescent="0.25">
      <c r="A77" s="112"/>
      <c r="B77" s="111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59">
        <f>R19</f>
        <v>7.248749999999986</v>
      </c>
      <c r="S77" s="26">
        <f>S18</f>
        <v>16.978223695311584</v>
      </c>
      <c r="T77" s="26">
        <f>T18</f>
        <v>16.978223695311584</v>
      </c>
      <c r="U77" s="26"/>
      <c r="V77" s="26"/>
      <c r="W77" s="26"/>
      <c r="X77" s="26"/>
      <c r="Y77" s="26"/>
      <c r="Z77" s="26"/>
      <c r="AA77" s="26"/>
      <c r="AB77" s="26"/>
      <c r="AC77" s="26"/>
      <c r="AD77" s="61"/>
      <c r="AE77" s="26"/>
      <c r="AF77" s="26"/>
      <c r="AG77" s="26"/>
      <c r="AH77" s="26"/>
      <c r="AI77" s="26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5"/>
      <c r="BJ77" s="5"/>
      <c r="BK77" s="5"/>
      <c r="BL77" s="5"/>
    </row>
    <row r="78" spans="1:64" x14ac:dyDescent="0.25">
      <c r="A78" s="112"/>
      <c r="B78" s="113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59">
        <f>R19</f>
        <v>7.249999999999986</v>
      </c>
      <c r="S78" s="26">
        <f>S18</f>
        <v>17.368845585651677</v>
      </c>
      <c r="T78" s="26">
        <f>T18</f>
        <v>17.368845585651677</v>
      </c>
      <c r="U78" s="26"/>
      <c r="V78" s="26"/>
      <c r="W78" s="26"/>
      <c r="X78" s="26"/>
      <c r="Y78" s="26"/>
      <c r="Z78" s="26"/>
      <c r="AA78" s="26"/>
      <c r="AB78" s="26"/>
      <c r="AC78" s="26"/>
      <c r="AD78" s="61"/>
      <c r="AE78" s="26"/>
      <c r="AF78" s="26"/>
      <c r="AG78" s="26"/>
      <c r="AH78" s="26"/>
      <c r="AI78" s="26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5"/>
      <c r="BJ78" s="5"/>
      <c r="BK78" s="5"/>
      <c r="BL78" s="5"/>
    </row>
    <row r="79" spans="1:64" x14ac:dyDescent="0.25">
      <c r="A79" s="112"/>
      <c r="B79" s="111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59">
        <f>R19</f>
        <v>7.2512499999999855</v>
      </c>
      <c r="S79" s="26">
        <f>S18</f>
        <v>17.698317071158268</v>
      </c>
      <c r="T79" s="26">
        <f>T18</f>
        <v>17.698317071158268</v>
      </c>
      <c r="U79" s="26"/>
      <c r="V79" s="26"/>
      <c r="W79" s="26"/>
      <c r="X79" s="26"/>
      <c r="Y79" s="26"/>
      <c r="Z79" s="26"/>
      <c r="AA79" s="26"/>
      <c r="AB79" s="26"/>
      <c r="AC79" s="26"/>
      <c r="AD79" s="61"/>
      <c r="AE79" s="26"/>
      <c r="AF79" s="26"/>
      <c r="AG79" s="26"/>
      <c r="AH79" s="26"/>
      <c r="AI79" s="26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5"/>
      <c r="BJ79" s="5"/>
      <c r="BK79" s="5"/>
      <c r="BL79" s="5"/>
    </row>
    <row r="80" spans="1:64" x14ac:dyDescent="0.25">
      <c r="A80" s="112"/>
      <c r="B80" s="113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59">
        <f>R19</f>
        <v>7.252499999999985</v>
      </c>
      <c r="S80" s="26">
        <f>S18</f>
        <v>17.963880241872015</v>
      </c>
      <c r="T80" s="26">
        <f>T18</f>
        <v>17.963880241872015</v>
      </c>
      <c r="U80" s="26"/>
      <c r="V80" s="26"/>
      <c r="W80" s="26"/>
      <c r="X80" s="26"/>
      <c r="Y80" s="26"/>
      <c r="Z80" s="26"/>
      <c r="AA80" s="26"/>
      <c r="AB80" s="26"/>
      <c r="AC80" s="26"/>
      <c r="AD80" s="61"/>
      <c r="AE80" s="26"/>
      <c r="AF80" s="26"/>
      <c r="AG80" s="26"/>
      <c r="AH80" s="26"/>
      <c r="AI80" s="26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5"/>
      <c r="BJ80" s="5"/>
      <c r="BK80" s="5"/>
      <c r="BL80" s="5"/>
    </row>
    <row r="81" spans="1:64" x14ac:dyDescent="0.25">
      <c r="A81" s="112"/>
      <c r="B81" s="113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59">
        <f>R19</f>
        <v>7.253749999999985</v>
      </c>
      <c r="S81" s="26">
        <f>S18</f>
        <v>18.16355000915665</v>
      </c>
      <c r="T81" s="26">
        <f>T18</f>
        <v>18.16355000915665</v>
      </c>
      <c r="U81" s="26"/>
      <c r="V81" s="26"/>
      <c r="W81" s="26"/>
      <c r="X81" s="26"/>
      <c r="Y81" s="26"/>
      <c r="Z81" s="26"/>
      <c r="AA81" s="26"/>
      <c r="AB81" s="26"/>
      <c r="AC81" s="26"/>
      <c r="AD81" s="61"/>
      <c r="AE81" s="26"/>
      <c r="AF81" s="26"/>
      <c r="AG81" s="26"/>
      <c r="AH81" s="26"/>
      <c r="AI81" s="26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5"/>
      <c r="BJ81" s="5"/>
      <c r="BK81" s="5"/>
      <c r="BL81" s="5"/>
    </row>
    <row r="82" spans="1:64" x14ac:dyDescent="0.25">
      <c r="A82" s="112"/>
      <c r="B82" s="111"/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59">
        <f>R19</f>
        <v>7.254999999999985</v>
      </c>
      <c r="S82" s="26">
        <f t="shared" ref="S82:S145" si="16">IF(T82&lt;0," ",T82)</f>
        <v>18.296144134351845</v>
      </c>
      <c r="T82" s="26">
        <f t="shared" ref="T82:T145" si="17">(0.39894228/$F$34)*EXP(-((R82-$F$33)^2)/(2*$F$34^2))*(1-0.5*$M$37*((R82-$F$33)/$F$34-(R82-$F$33)^3/(3*$F$34^3)))</f>
        <v>18.296144134351845</v>
      </c>
      <c r="U82" s="26"/>
      <c r="V82" s="26"/>
      <c r="W82" s="26"/>
      <c r="X82" s="26"/>
      <c r="Y82" s="26"/>
      <c r="Z82" s="26"/>
      <c r="AA82" s="26"/>
      <c r="AB82" s="26"/>
      <c r="AC82" s="26"/>
      <c r="AD82" s="61"/>
      <c r="AE82" s="26"/>
      <c r="AF82" s="26"/>
      <c r="AG82" s="26"/>
      <c r="AH82" s="26"/>
      <c r="AI82" s="26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5"/>
      <c r="BJ82" s="5"/>
      <c r="BK82" s="5"/>
      <c r="BL82" s="5"/>
    </row>
    <row r="83" spans="1:64" x14ac:dyDescent="0.25">
      <c r="A83" s="112"/>
      <c r="B83" s="111"/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59">
        <f t="shared" ref="R83:R146" si="18">R82+$R$17</f>
        <v>7.2562499999999845</v>
      </c>
      <c r="S83" s="26">
        <f>S82</f>
        <v>18.361296692405563</v>
      </c>
      <c r="T83" s="26">
        <f>T82</f>
        <v>18.361296692405563</v>
      </c>
      <c r="U83" s="26"/>
      <c r="V83" s="26"/>
      <c r="W83" s="26"/>
      <c r="X83" s="26"/>
      <c r="Y83" s="26"/>
      <c r="Z83" s="26"/>
      <c r="AA83" s="26"/>
      <c r="AB83" s="26"/>
      <c r="AC83" s="26"/>
      <c r="AD83" s="61"/>
      <c r="AE83" s="26"/>
      <c r="AF83" s="26"/>
      <c r="AG83" s="26"/>
      <c r="AH83" s="26"/>
      <c r="AI83" s="26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5"/>
      <c r="BJ83" s="5"/>
      <c r="BK83" s="5"/>
      <c r="BL83" s="5"/>
    </row>
    <row r="84" spans="1:64" x14ac:dyDescent="0.25">
      <c r="A84" s="112"/>
      <c r="B84" s="113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59">
        <f>R83</f>
        <v>7.257499999999984</v>
      </c>
      <c r="S84" s="26">
        <f>S82</f>
        <v>18.359454670672633</v>
      </c>
      <c r="T84" s="26">
        <f>T82</f>
        <v>18.359454670672633</v>
      </c>
      <c r="U84" s="26"/>
      <c r="V84" s="26"/>
      <c r="W84" s="26"/>
      <c r="X84" s="26"/>
      <c r="Y84" s="26"/>
      <c r="Z84" s="26"/>
      <c r="AA84" s="26"/>
      <c r="AB84" s="26"/>
      <c r="AC84" s="26"/>
      <c r="AD84" s="61"/>
      <c r="AE84" s="26"/>
      <c r="AF84" s="26"/>
      <c r="AG84" s="26"/>
      <c r="AH84" s="26"/>
      <c r="AI84" s="26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5"/>
      <c r="BJ84" s="5"/>
      <c r="BK84" s="5"/>
      <c r="BL84" s="5"/>
    </row>
    <row r="85" spans="1:64" x14ac:dyDescent="0.25">
      <c r="A85" s="112"/>
      <c r="B85" s="111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59">
        <f>R83</f>
        <v>7.258749999999984</v>
      </c>
      <c r="S85" s="26">
        <f>S82</f>
        <v>18.29185788267889</v>
      </c>
      <c r="T85" s="26">
        <f>T82</f>
        <v>18.29185788267889</v>
      </c>
      <c r="U85" s="26"/>
      <c r="V85" s="26"/>
      <c r="W85" s="26"/>
      <c r="X85" s="26"/>
      <c r="Y85" s="26"/>
      <c r="Z85" s="26"/>
      <c r="AA85" s="26"/>
      <c r="AB85" s="26"/>
      <c r="AC85" s="26"/>
      <c r="AD85" s="61"/>
      <c r="AE85" s="26"/>
      <c r="AF85" s="26"/>
      <c r="AG85" s="26"/>
      <c r="AH85" s="26"/>
      <c r="AI85" s="26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5"/>
      <c r="BJ85" s="5"/>
      <c r="BK85" s="5"/>
      <c r="BL85" s="5"/>
    </row>
    <row r="86" spans="1:64" x14ac:dyDescent="0.25">
      <c r="A86" s="112"/>
      <c r="B86" s="113"/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59">
        <f>R83</f>
        <v>7.259999999999984</v>
      </c>
      <c r="S86" s="26">
        <f>S82</f>
        <v>18.160502850703494</v>
      </c>
      <c r="T86" s="26">
        <f>T82</f>
        <v>18.160502850703494</v>
      </c>
      <c r="U86" s="26"/>
      <c r="V86" s="26"/>
      <c r="W86" s="26"/>
      <c r="X86" s="26"/>
      <c r="Y86" s="26"/>
      <c r="Z86" s="26"/>
      <c r="AA86" s="26"/>
      <c r="AB86" s="26"/>
      <c r="AC86" s="26"/>
      <c r="AD86" s="61"/>
      <c r="AE86" s="26"/>
      <c r="AF86" s="26"/>
      <c r="AG86" s="26"/>
      <c r="AH86" s="26"/>
      <c r="AI86" s="26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5"/>
      <c r="BJ86" s="5"/>
      <c r="BK86" s="5"/>
      <c r="BL86" s="5"/>
    </row>
    <row r="87" spans="1:64" x14ac:dyDescent="0.25">
      <c r="A87" s="112"/>
      <c r="B87" s="111"/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59">
        <f>R83</f>
        <v>7.2612499999999836</v>
      </c>
      <c r="S87" s="26">
        <f>S82</f>
        <v>17.968091762604317</v>
      </c>
      <c r="T87" s="26">
        <f>T82</f>
        <v>17.968091762604317</v>
      </c>
      <c r="U87" s="26"/>
      <c r="V87" s="26"/>
      <c r="W87" s="26"/>
      <c r="X87" s="26"/>
      <c r="Y87" s="26"/>
      <c r="Z87" s="26"/>
      <c r="AA87" s="26"/>
      <c r="AB87" s="26"/>
      <c r="AC87" s="26"/>
      <c r="AD87" s="61"/>
      <c r="AE87" s="26"/>
      <c r="AF87" s="26"/>
      <c r="AG87" s="26"/>
      <c r="AH87" s="26"/>
      <c r="AI87" s="26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5"/>
      <c r="BJ87" s="5"/>
      <c r="BK87" s="5"/>
      <c r="BL87" s="5"/>
    </row>
    <row r="88" spans="1:64" x14ac:dyDescent="0.25">
      <c r="A88" s="112"/>
      <c r="B88" s="111"/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59">
        <f>R83</f>
        <v>7.262499999999983</v>
      </c>
      <c r="S88" s="26">
        <f>S82</f>
        <v>17.71796802133261</v>
      </c>
      <c r="T88" s="26">
        <f>T82</f>
        <v>17.71796802133261</v>
      </c>
      <c r="U88" s="26"/>
      <c r="V88" s="26"/>
      <c r="W88" s="26"/>
      <c r="X88" s="26"/>
      <c r="Y88" s="26"/>
      <c r="Z88" s="26"/>
      <c r="AA88" s="26"/>
      <c r="AB88" s="26"/>
      <c r="AC88" s="26"/>
      <c r="AD88" s="61"/>
      <c r="AE88" s="26"/>
      <c r="AF88" s="26"/>
      <c r="AG88" s="26"/>
      <c r="AH88" s="26"/>
      <c r="AI88" s="26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5"/>
      <c r="BJ88" s="5"/>
      <c r="BK88" s="5"/>
      <c r="BL88" s="5"/>
    </row>
    <row r="89" spans="1:64" x14ac:dyDescent="0.25">
      <c r="A89" s="112"/>
      <c r="B89" s="113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59">
        <f>R83</f>
        <v>7.263749999999983</v>
      </c>
      <c r="S89" s="26">
        <f>S82</f>
        <v>17.41404026551618</v>
      </c>
      <c r="T89" s="26">
        <f>T82</f>
        <v>17.41404026551618</v>
      </c>
      <c r="U89" s="26"/>
      <c r="V89" s="26"/>
      <c r="W89" s="26"/>
      <c r="X89" s="26"/>
      <c r="Y89" s="26"/>
      <c r="Z89" s="26"/>
      <c r="AA89" s="26"/>
      <c r="AB89" s="26"/>
      <c r="AC89" s="26"/>
      <c r="AD89" s="61"/>
      <c r="AE89" s="26"/>
      <c r="AF89" s="26"/>
      <c r="AG89" s="26"/>
      <c r="AH89" s="26"/>
      <c r="AI89" s="26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5"/>
      <c r="BJ89" s="5"/>
      <c r="BK89" s="5"/>
      <c r="BL89" s="5"/>
    </row>
    <row r="90" spans="1:64" x14ac:dyDescent="0.25">
      <c r="A90" s="112"/>
      <c r="B90" s="111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59">
        <f>R83</f>
        <v>7.264999999999983</v>
      </c>
      <c r="S90" s="26">
        <f>S82</f>
        <v>17.060697033949005</v>
      </c>
      <c r="T90" s="26">
        <f>T82</f>
        <v>17.060697033949005</v>
      </c>
      <c r="U90" s="26"/>
      <c r="V90" s="26"/>
      <c r="W90" s="26"/>
      <c r="X90" s="26"/>
      <c r="Y90" s="26"/>
      <c r="Z90" s="26"/>
      <c r="AA90" s="26"/>
      <c r="AB90" s="26"/>
      <c r="AC90" s="26"/>
      <c r="AD90" s="61"/>
      <c r="AE90" s="26"/>
      <c r="AF90" s="26"/>
      <c r="AG90" s="26"/>
      <c r="AH90" s="26"/>
      <c r="AI90" s="26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5"/>
      <c r="BJ90" s="5"/>
      <c r="BK90" s="5"/>
      <c r="BL90" s="5"/>
    </row>
    <row r="91" spans="1:64" x14ac:dyDescent="0.25">
      <c r="A91" s="112"/>
      <c r="B91" s="111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59">
        <f>R83</f>
        <v>7.266249999999983</v>
      </c>
      <c r="S91" s="26">
        <f>S82</f>
        <v>16.662714466088453</v>
      </c>
      <c r="T91" s="26">
        <f>T82</f>
        <v>16.662714466088453</v>
      </c>
      <c r="U91" s="26"/>
      <c r="V91" s="26"/>
      <c r="W91" s="26"/>
      <c r="X91" s="26"/>
      <c r="Y91" s="26"/>
      <c r="Z91" s="26"/>
      <c r="AA91" s="26"/>
      <c r="AB91" s="26"/>
      <c r="AC91" s="26"/>
      <c r="AD91" s="61"/>
      <c r="AE91" s="26"/>
      <c r="AF91" s="26"/>
      <c r="AG91" s="26"/>
      <c r="AH91" s="26"/>
      <c r="AI91" s="26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5"/>
      <c r="BJ91" s="5"/>
      <c r="BK91" s="5"/>
      <c r="BL91" s="5"/>
    </row>
    <row r="92" spans="1:64" x14ac:dyDescent="0.25">
      <c r="A92" s="112"/>
      <c r="B92" s="113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59">
        <f>R83</f>
        <v>7.267499999999982</v>
      </c>
      <c r="S92" s="26">
        <f>S82</f>
        <v>16.225159568066672</v>
      </c>
      <c r="T92" s="26">
        <f>T82</f>
        <v>16.225159568066672</v>
      </c>
      <c r="U92" s="26"/>
      <c r="V92" s="26"/>
      <c r="W92" s="26"/>
      <c r="X92" s="26"/>
      <c r="Y92" s="26"/>
      <c r="Z92" s="26"/>
      <c r="AA92" s="26"/>
      <c r="AB92" s="26"/>
      <c r="AC92" s="26"/>
      <c r="AD92" s="61"/>
      <c r="AE92" s="26"/>
      <c r="AF92" s="26"/>
      <c r="AG92" s="26"/>
      <c r="AH92" s="26"/>
      <c r="AI92" s="26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5"/>
      <c r="BJ92" s="5"/>
      <c r="BK92" s="5"/>
      <c r="BL92" s="5"/>
    </row>
    <row r="93" spans="1:64" x14ac:dyDescent="0.25">
      <c r="A93" s="112"/>
      <c r="B93" s="111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59">
        <f>R83</f>
        <v>7.268749999999982</v>
      </c>
      <c r="S93" s="26">
        <f>S82</f>
        <v>15.753291625914027</v>
      </c>
      <c r="T93" s="26">
        <f>T82</f>
        <v>15.753291625914027</v>
      </c>
      <c r="U93" s="26"/>
      <c r="V93" s="26"/>
      <c r="W93" s="26"/>
      <c r="X93" s="26"/>
      <c r="Y93" s="26"/>
      <c r="Z93" s="26"/>
      <c r="AA93" s="26"/>
      <c r="AB93" s="26"/>
      <c r="AC93" s="26"/>
      <c r="AD93" s="61"/>
      <c r="AE93" s="26"/>
      <c r="AF93" s="26"/>
      <c r="AG93" s="26"/>
      <c r="AH93" s="26"/>
      <c r="AI93" s="26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5"/>
      <c r="BJ93" s="5"/>
      <c r="BK93" s="5"/>
      <c r="BL93" s="5"/>
    </row>
    <row r="94" spans="1:64" x14ac:dyDescent="0.25">
      <c r="A94" s="112"/>
      <c r="B94" s="111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59">
        <f>R83</f>
        <v>7.269999999999982</v>
      </c>
      <c r="S94" s="26">
        <f>S82</f>
        <v>15.252464314715624</v>
      </c>
      <c r="T94" s="26">
        <f>T82</f>
        <v>15.252464314715624</v>
      </c>
      <c r="U94" s="26"/>
      <c r="V94" s="26"/>
      <c r="W94" s="26"/>
      <c r="X94" s="26"/>
      <c r="Y94" s="26"/>
      <c r="Z94" s="26"/>
      <c r="AA94" s="26"/>
      <c r="AB94" s="26"/>
      <c r="AC94" s="26"/>
      <c r="AD94" s="61"/>
      <c r="AE94" s="26"/>
      <c r="AF94" s="26"/>
      <c r="AG94" s="26"/>
      <c r="AH94" s="26"/>
      <c r="AI94" s="26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5"/>
      <c r="BJ94" s="5"/>
      <c r="BK94" s="5"/>
      <c r="BL94" s="5"/>
    </row>
    <row r="95" spans="1:64" x14ac:dyDescent="0.25">
      <c r="A95" s="112"/>
      <c r="B95" s="113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59">
        <f>R83</f>
        <v>7.271249999999982</v>
      </c>
      <c r="S95" s="26">
        <f>S82</f>
        <v>14.728030937662435</v>
      </c>
      <c r="T95" s="26">
        <f>T82</f>
        <v>14.728030937662435</v>
      </c>
      <c r="U95" s="26"/>
      <c r="V95" s="26"/>
      <c r="W95" s="26"/>
      <c r="X95" s="26"/>
      <c r="Y95" s="26"/>
      <c r="Z95" s="26"/>
      <c r="AA95" s="26"/>
      <c r="AB95" s="26"/>
      <c r="AC95" s="26"/>
      <c r="AD95" s="61"/>
      <c r="AE95" s="26"/>
      <c r="AF95" s="26"/>
      <c r="AG95" s="26"/>
      <c r="AH95" s="26"/>
      <c r="AI95" s="26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5"/>
      <c r="BJ95" s="5"/>
      <c r="BK95" s="5"/>
      <c r="BL95" s="5"/>
    </row>
    <row r="96" spans="1:64" x14ac:dyDescent="0.25">
      <c r="A96" s="112"/>
      <c r="B96" s="111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59">
        <f>R83</f>
        <v>7.272499999999981</v>
      </c>
      <c r="S96" s="26">
        <f>S82</f>
        <v>14.18525503892803</v>
      </c>
      <c r="T96" s="26">
        <f>T82</f>
        <v>14.18525503892803</v>
      </c>
      <c r="U96" s="26"/>
      <c r="V96" s="26"/>
      <c r="W96" s="26"/>
      <c r="X96" s="26"/>
      <c r="Y96" s="26"/>
      <c r="Z96" s="26"/>
      <c r="AA96" s="26"/>
      <c r="AB96" s="26"/>
      <c r="AC96" s="26"/>
      <c r="AD96" s="61"/>
      <c r="AE96" s="26"/>
      <c r="AF96" s="26"/>
      <c r="AG96" s="26"/>
      <c r="AH96" s="26"/>
      <c r="AI96" s="26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5"/>
      <c r="BJ96" s="5"/>
      <c r="BK96" s="5"/>
      <c r="BL96" s="5"/>
    </row>
    <row r="97" spans="1:64" x14ac:dyDescent="0.25">
      <c r="A97" s="112"/>
      <c r="B97" s="113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59">
        <f>R83</f>
        <v>7.273749999999981</v>
      </c>
      <c r="S97" s="26">
        <f>S82</f>
        <v>13.629228378286808</v>
      </c>
      <c r="T97" s="26">
        <f>T82</f>
        <v>13.629228378286808</v>
      </c>
      <c r="U97" s="26"/>
      <c r="V97" s="26"/>
      <c r="W97" s="26"/>
      <c r="X97" s="26"/>
      <c r="Y97" s="26"/>
      <c r="Z97" s="26"/>
      <c r="AA97" s="26"/>
      <c r="AB97" s="26"/>
      <c r="AC97" s="26"/>
      <c r="AD97" s="61"/>
      <c r="AE97" s="26"/>
      <c r="AF97" s="26"/>
      <c r="AG97" s="26"/>
      <c r="AH97" s="26"/>
      <c r="AI97" s="26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5"/>
      <c r="BJ97" s="5"/>
      <c r="BK97" s="5"/>
      <c r="BL97" s="5"/>
    </row>
    <row r="98" spans="1:64" x14ac:dyDescent="0.25">
      <c r="A98" s="112"/>
      <c r="B98" s="111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59">
        <f>R83</f>
        <v>7.274999999999981</v>
      </c>
      <c r="S98" s="26">
        <f>S82</f>
        <v>13.064797944979345</v>
      </c>
      <c r="T98" s="26">
        <f>T82</f>
        <v>13.064797944979345</v>
      </c>
      <c r="U98" s="26"/>
      <c r="V98" s="26"/>
      <c r="W98" s="26"/>
      <c r="X98" s="26"/>
      <c r="Y98" s="26"/>
      <c r="Z98" s="26"/>
      <c r="AA98" s="26"/>
      <c r="AB98" s="26"/>
      <c r="AC98" s="26"/>
      <c r="AD98" s="61"/>
      <c r="AE98" s="26"/>
      <c r="AF98" s="26"/>
      <c r="AG98" s="26"/>
      <c r="AH98" s="26"/>
      <c r="AI98" s="26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5"/>
      <c r="BJ98" s="5"/>
      <c r="BK98" s="5"/>
      <c r="BL98" s="5"/>
    </row>
    <row r="99" spans="1:64" x14ac:dyDescent="0.25">
      <c r="A99" s="112"/>
      <c r="B99" s="111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59">
        <f>R83</f>
        <v>7.276249999999981</v>
      </c>
      <c r="S99" s="26">
        <f>S82</f>
        <v>12.49650333685591</v>
      </c>
      <c r="T99" s="26">
        <f>T82</f>
        <v>12.49650333685591</v>
      </c>
      <c r="U99" s="26"/>
      <c r="V99" s="26"/>
      <c r="W99" s="26"/>
      <c r="X99" s="26"/>
      <c r="Y99" s="26"/>
      <c r="Z99" s="26"/>
      <c r="AA99" s="26"/>
      <c r="AB99" s="26"/>
      <c r="AC99" s="26"/>
      <c r="AD99" s="61"/>
      <c r="AE99" s="26"/>
      <c r="AF99" s="26"/>
      <c r="AG99" s="26"/>
      <c r="AH99" s="26"/>
      <c r="AI99" s="26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5"/>
      <c r="BJ99" s="5"/>
      <c r="BK99" s="5"/>
      <c r="BL99" s="5"/>
    </row>
    <row r="100" spans="1:64" x14ac:dyDescent="0.25">
      <c r="A100" s="112"/>
      <c r="B100" s="113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59">
        <f>R83</f>
        <v>7.27749999999998</v>
      </c>
      <c r="S100" s="26">
        <f>S82</f>
        <v>11.928525452736062</v>
      </c>
      <c r="T100" s="26">
        <f>T82</f>
        <v>11.928525452736062</v>
      </c>
      <c r="U100" s="26"/>
      <c r="V100" s="26"/>
      <c r="W100" s="26"/>
      <c r="X100" s="26"/>
      <c r="Y100" s="26"/>
      <c r="Z100" s="26"/>
      <c r="AA100" s="26"/>
      <c r="AB100" s="26"/>
      <c r="AC100" s="26"/>
      <c r="AD100" s="61"/>
      <c r="AE100" s="26"/>
      <c r="AF100" s="26"/>
      <c r="AG100" s="26"/>
      <c r="AH100" s="26"/>
      <c r="AI100" s="27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5"/>
      <c r="BJ100" s="5"/>
      <c r="BK100" s="5"/>
      <c r="BL100" s="5"/>
    </row>
    <row r="101" spans="1:64" x14ac:dyDescent="0.25">
      <c r="A101" s="112"/>
      <c r="B101" s="111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59">
        <f>R83</f>
        <v>7.27874999999998</v>
      </c>
      <c r="S101" s="26">
        <f>S82</f>
        <v>11.364647056115306</v>
      </c>
      <c r="T101" s="26">
        <f>T82</f>
        <v>11.364647056115306</v>
      </c>
      <c r="U101" s="26"/>
      <c r="V101" s="26"/>
      <c r="W101" s="26"/>
      <c r="X101" s="26"/>
      <c r="Y101" s="26"/>
      <c r="Z101" s="26"/>
      <c r="AA101" s="26"/>
      <c r="AB101" s="26"/>
      <c r="AC101" s="26"/>
      <c r="AD101" s="61"/>
      <c r="AE101" s="26"/>
      <c r="AF101" s="26"/>
      <c r="AG101" s="26"/>
      <c r="AH101" s="26"/>
      <c r="AI101" s="26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5"/>
      <c r="BJ101" s="5"/>
      <c r="BK101" s="5"/>
      <c r="BL101" s="5"/>
    </row>
    <row r="102" spans="1:64" x14ac:dyDescent="0.25">
      <c r="A102" s="112"/>
      <c r="B102" s="111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59">
        <f>R83</f>
        <v>7.27999999999998</v>
      </c>
      <c r="S102" s="26">
        <f>S82</f>
        <v>10.808225381540254</v>
      </c>
      <c r="T102" s="26">
        <f>T82</f>
        <v>10.808225381540254</v>
      </c>
      <c r="U102" s="26"/>
      <c r="V102" s="26"/>
      <c r="W102" s="26"/>
      <c r="X102" s="26"/>
      <c r="Y102" s="26"/>
      <c r="Z102" s="26"/>
      <c r="AA102" s="26"/>
      <c r="AB102" s="26"/>
      <c r="AC102" s="26"/>
      <c r="AD102" s="61"/>
      <c r="AE102" s="26"/>
      <c r="AF102" s="26"/>
      <c r="AG102" s="26"/>
      <c r="AH102" s="26"/>
      <c r="AI102" s="26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5"/>
      <c r="BJ102" s="5"/>
      <c r="BK102" s="5"/>
      <c r="BL102" s="5"/>
    </row>
    <row r="103" spans="1:64" x14ac:dyDescent="0.25">
      <c r="A103" s="112"/>
      <c r="B103" s="113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59">
        <f>R83</f>
        <v>7.28124999999998</v>
      </c>
      <c r="S103" s="26">
        <f>S82</f>
        <v>10.262176585060459</v>
      </c>
      <c r="T103" s="26">
        <f>T82</f>
        <v>10.262176585060459</v>
      </c>
      <c r="U103" s="26"/>
      <c r="V103" s="26"/>
      <c r="W103" s="26"/>
      <c r="X103" s="26"/>
      <c r="Y103" s="26"/>
      <c r="Z103" s="26"/>
      <c r="AA103" s="26"/>
      <c r="AB103" s="26"/>
      <c r="AC103" s="26"/>
      <c r="AD103" s="61"/>
      <c r="AE103" s="26"/>
      <c r="AF103" s="26"/>
      <c r="AG103" s="26"/>
      <c r="AH103" s="26"/>
      <c r="AI103" s="26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5"/>
      <c r="BJ103" s="5"/>
      <c r="BK103" s="5"/>
      <c r="BL103" s="5"/>
    </row>
    <row r="104" spans="1:64" x14ac:dyDescent="0.25">
      <c r="A104" s="112"/>
      <c r="B104" s="111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59">
        <f>R83</f>
        <v>7.282499999999979</v>
      </c>
      <c r="S104" s="26">
        <f>S82</f>
        <v>9.728971499679341</v>
      </c>
      <c r="T104" s="26">
        <f>T82</f>
        <v>9.728971499679341</v>
      </c>
      <c r="U104" s="26"/>
      <c r="V104" s="26"/>
      <c r="W104" s="26"/>
      <c r="X104" s="26"/>
      <c r="Y104" s="26"/>
      <c r="Z104" s="26"/>
      <c r="AA104" s="26"/>
      <c r="AB104" s="26"/>
      <c r="AC104" s="26"/>
      <c r="AD104" s="61"/>
      <c r="AE104" s="26"/>
      <c r="AF104" s="26"/>
      <c r="AG104" s="26"/>
      <c r="AH104" s="26"/>
      <c r="AI104" s="26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5"/>
      <c r="BJ104" s="5"/>
      <c r="BK104" s="5"/>
      <c r="BL104" s="5"/>
    </row>
    <row r="105" spans="1:64" x14ac:dyDescent="0.25">
      <c r="A105" s="112"/>
      <c r="B105" s="111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59">
        <f>R83</f>
        <v>7.283749999999979</v>
      </c>
      <c r="S105" s="26">
        <f>S82</f>
        <v>9.210641856365381</v>
      </c>
      <c r="T105" s="26">
        <f>T82</f>
        <v>9.210641856365381</v>
      </c>
      <c r="U105" s="26"/>
      <c r="V105" s="26"/>
      <c r="W105" s="26"/>
      <c r="X105" s="26"/>
      <c r="Y105" s="26"/>
      <c r="Z105" s="26"/>
      <c r="AA105" s="26"/>
      <c r="AB105" s="26"/>
      <c r="AC105" s="26"/>
      <c r="AD105" s="61"/>
      <c r="AE105" s="26"/>
      <c r="AF105" s="26"/>
      <c r="AG105" s="26"/>
      <c r="AH105" s="26"/>
      <c r="AI105" s="26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5"/>
      <c r="BJ105" s="5"/>
      <c r="BK105" s="5"/>
      <c r="BL105" s="5"/>
    </row>
    <row r="106" spans="1:64" x14ac:dyDescent="0.25">
      <c r="A106" s="112"/>
      <c r="B106" s="113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59">
        <f>R83</f>
        <v>7.284999999999979</v>
      </c>
      <c r="S106" s="26">
        <f>S82</f>
        <v>8.708795879449445</v>
      </c>
      <c r="T106" s="26">
        <f>T82</f>
        <v>8.708795879449445</v>
      </c>
      <c r="U106" s="26"/>
      <c r="V106" s="26"/>
      <c r="W106" s="26"/>
      <c r="X106" s="26"/>
      <c r="Y106" s="26"/>
      <c r="Z106" s="26"/>
      <c r="AA106" s="26"/>
      <c r="AB106" s="26"/>
      <c r="AC106" s="26"/>
      <c r="AD106" s="61"/>
      <c r="AE106" s="26"/>
      <c r="AF106" s="26"/>
      <c r="AG106" s="26"/>
      <c r="AH106" s="26"/>
      <c r="AI106" s="26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5"/>
      <c r="BJ106" s="5"/>
      <c r="BK106" s="5"/>
      <c r="BL106" s="5"/>
    </row>
    <row r="107" spans="1:64" x14ac:dyDescent="0.25">
      <c r="A107" s="112"/>
      <c r="B107" s="111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59">
        <f>R83</f>
        <v>7.286249999999979</v>
      </c>
      <c r="S107" s="26">
        <f>S82</f>
        <v>8.224641968188923</v>
      </c>
      <c r="T107" s="26">
        <f>T82</f>
        <v>8.224641968188923</v>
      </c>
      <c r="U107" s="26"/>
      <c r="V107" s="26"/>
      <c r="W107" s="26"/>
      <c r="X107" s="26"/>
      <c r="Y107" s="26"/>
      <c r="Z107" s="26"/>
      <c r="AA107" s="26"/>
      <c r="AB107" s="26"/>
      <c r="AC107" s="26"/>
      <c r="AD107" s="61"/>
      <c r="AE107" s="26"/>
      <c r="AF107" s="26"/>
      <c r="AG107" s="26"/>
      <c r="AH107" s="26"/>
      <c r="AI107" s="26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5"/>
      <c r="BJ107" s="5"/>
      <c r="BK107" s="5"/>
      <c r="BL107" s="5"/>
    </row>
    <row r="108" spans="1:64" x14ac:dyDescent="0.25">
      <c r="A108" s="112"/>
      <c r="B108" s="111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59">
        <f>R83</f>
        <v>7.287499999999978</v>
      </c>
      <c r="S108" s="26">
        <f>S82</f>
        <v>7.7590190374352845</v>
      </c>
      <c r="T108" s="26">
        <f>T82</f>
        <v>7.7590190374352845</v>
      </c>
      <c r="U108" s="26"/>
      <c r="V108" s="26"/>
      <c r="W108" s="26"/>
      <c r="X108" s="26"/>
      <c r="Y108" s="26"/>
      <c r="Z108" s="26"/>
      <c r="AA108" s="26"/>
      <c r="AB108" s="26"/>
      <c r="AC108" s="26"/>
      <c r="AD108" s="61"/>
      <c r="AE108" s="26"/>
      <c r="AF108" s="26"/>
      <c r="AG108" s="26"/>
      <c r="AH108" s="26"/>
      <c r="AI108" s="26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5"/>
      <c r="BJ108" s="5"/>
      <c r="BK108" s="5"/>
      <c r="BL108" s="5"/>
    </row>
    <row r="109" spans="1:64" x14ac:dyDescent="0.25">
      <c r="A109" s="112"/>
      <c r="B109" s="113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59">
        <f>R83</f>
        <v>7.288749999999978</v>
      </c>
      <c r="S109" s="26">
        <f>S82</f>
        <v>7.312432010661012</v>
      </c>
      <c r="T109" s="26">
        <f>T82</f>
        <v>7.312432010661012</v>
      </c>
      <c r="U109" s="26"/>
      <c r="V109" s="26"/>
      <c r="W109" s="26"/>
      <c r="X109" s="26"/>
      <c r="Y109" s="26"/>
      <c r="Z109" s="26"/>
      <c r="AA109" s="26"/>
      <c r="AB109" s="26"/>
      <c r="AC109" s="26"/>
      <c r="AD109" s="61"/>
      <c r="AE109" s="26"/>
      <c r="AF109" s="26"/>
      <c r="AG109" s="26"/>
      <c r="AH109" s="26"/>
      <c r="AI109" s="26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5"/>
      <c r="BJ109" s="5"/>
      <c r="BK109" s="5"/>
      <c r="BL109" s="5"/>
    </row>
    <row r="110" spans="1:64" x14ac:dyDescent="0.25">
      <c r="A110" s="112"/>
      <c r="B110" s="111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59">
        <f>R83</f>
        <v>7.289999999999978</v>
      </c>
      <c r="S110" s="26">
        <f>S82</f>
        <v>6.885090936623791</v>
      </c>
      <c r="T110" s="26">
        <f>T82</f>
        <v>6.885090936623791</v>
      </c>
      <c r="U110" s="26"/>
      <c r="V110" s="26"/>
      <c r="W110" s="26"/>
      <c r="X110" s="26"/>
      <c r="Y110" s="26"/>
      <c r="Z110" s="26"/>
      <c r="AA110" s="26"/>
      <c r="AB110" s="26"/>
      <c r="AC110" s="26"/>
      <c r="AD110" s="61"/>
      <c r="AE110" s="26"/>
      <c r="AF110" s="26"/>
      <c r="AG110" s="26"/>
      <c r="AH110" s="26"/>
      <c r="AI110" s="26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5"/>
      <c r="BJ110" s="5"/>
      <c r="BK110" s="5"/>
      <c r="BL110" s="5"/>
    </row>
    <row r="111" spans="1:64" x14ac:dyDescent="0.25">
      <c r="A111" s="112"/>
      <c r="B111" s="111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59">
        <f>R83</f>
        <v>7.291249999999978</v>
      </c>
      <c r="S111" s="26">
        <f>S82</f>
        <v>6.476952233009781</v>
      </c>
      <c r="T111" s="26">
        <f>T82</f>
        <v>6.476952233009781</v>
      </c>
      <c r="U111" s="26"/>
      <c r="V111" s="26"/>
      <c r="W111" s="26"/>
      <c r="X111" s="26"/>
      <c r="Y111" s="26"/>
      <c r="Z111" s="26"/>
      <c r="AA111" s="26"/>
      <c r="AB111" s="26"/>
      <c r="AC111" s="26"/>
      <c r="AD111" s="61"/>
      <c r="AE111" s="26"/>
      <c r="AF111" s="26"/>
      <c r="AG111" s="26"/>
      <c r="AH111" s="26"/>
      <c r="AI111" s="26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5"/>
      <c r="BJ111" s="5"/>
      <c r="BK111" s="5"/>
      <c r="BL111" s="5"/>
    </row>
    <row r="112" spans="1:64" x14ac:dyDescent="0.25">
      <c r="A112" s="112"/>
      <c r="B112" s="111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59">
        <f>R83</f>
        <v>7.292499999999977</v>
      </c>
      <c r="S112" s="26">
        <f>S82</f>
        <v>6.087760640956729</v>
      </c>
      <c r="T112" s="26">
        <f>T82</f>
        <v>6.087760640956729</v>
      </c>
      <c r="U112" s="26"/>
      <c r="V112" s="26"/>
      <c r="W112" s="26"/>
      <c r="X112" s="26"/>
      <c r="Y112" s="26"/>
      <c r="Z112" s="26"/>
      <c r="AA112" s="26"/>
      <c r="AB112" s="26"/>
      <c r="AC112" s="26"/>
      <c r="AD112" s="61"/>
      <c r="AE112" s="26"/>
      <c r="AF112" s="26"/>
      <c r="AG112" s="26"/>
      <c r="AH112" s="26"/>
      <c r="AI112" s="27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5"/>
      <c r="BJ112" s="5"/>
      <c r="BK112" s="5"/>
      <c r="BL112" s="5"/>
    </row>
    <row r="113" spans="1:64" x14ac:dyDescent="0.25">
      <c r="A113" s="112"/>
      <c r="B113" s="111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59">
        <f>R83</f>
        <v>7.293749999999977</v>
      </c>
      <c r="S113" s="26">
        <f>S82</f>
        <v>5.717090596354081</v>
      </c>
      <c r="T113" s="26">
        <f>T82</f>
        <v>5.717090596354081</v>
      </c>
      <c r="U113" s="26"/>
      <c r="V113" s="26"/>
      <c r="W113" s="26"/>
      <c r="X113" s="26"/>
      <c r="Y113" s="26"/>
      <c r="Z113" s="26"/>
      <c r="AA113" s="26"/>
      <c r="AB113" s="26"/>
      <c r="AC113" s="26"/>
      <c r="AD113" s="61"/>
      <c r="AE113" s="26"/>
      <c r="AF113" s="26"/>
      <c r="AG113" s="26"/>
      <c r="AH113" s="26"/>
      <c r="AI113" s="26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5"/>
      <c r="BJ113" s="5"/>
      <c r="BK113" s="5"/>
      <c r="BL113" s="5"/>
    </row>
    <row r="114" spans="1:64" x14ac:dyDescent="0.25">
      <c r="A114" s="112"/>
      <c r="B114" s="113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59">
        <f>R83</f>
        <v>7.294999999999977</v>
      </c>
      <c r="S114" s="26">
        <f>S82</f>
        <v>5.364385879101291</v>
      </c>
      <c r="T114" s="26">
        <f>T82</f>
        <v>5.364385879101291</v>
      </c>
      <c r="U114" s="26"/>
      <c r="V114" s="26"/>
      <c r="W114" s="26"/>
      <c r="X114" s="26"/>
      <c r="Y114" s="26"/>
      <c r="Z114" s="26"/>
      <c r="AA114" s="26"/>
      <c r="AB114" s="26"/>
      <c r="AC114" s="26"/>
      <c r="AD114" s="61"/>
      <c r="AE114" s="26"/>
      <c r="AF114" s="26"/>
      <c r="AG114" s="26"/>
      <c r="AH114" s="26"/>
      <c r="AI114" s="26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5"/>
      <c r="BJ114" s="5"/>
      <c r="BK114" s="5"/>
      <c r="BL114" s="5"/>
    </row>
    <row r="115" spans="1:64" x14ac:dyDescent="0.25">
      <c r="A115" s="112"/>
      <c r="B115" s="113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59">
        <f>R83</f>
        <v>7.296249999999977</v>
      </c>
      <c r="S115" s="26">
        <f>S82</f>
        <v>5.028996581272182</v>
      </c>
      <c r="T115" s="26">
        <f>T82</f>
        <v>5.028996581272182</v>
      </c>
      <c r="U115" s="26"/>
      <c r="V115" s="26"/>
      <c r="W115" s="26"/>
      <c r="X115" s="26"/>
      <c r="Y115" s="26"/>
      <c r="Z115" s="26"/>
      <c r="AA115" s="26"/>
      <c r="AB115" s="26"/>
      <c r="AC115" s="26"/>
      <c r="AD115" s="61"/>
      <c r="AE115" s="26"/>
      <c r="AF115" s="26"/>
      <c r="AG115" s="26"/>
      <c r="AH115" s="26"/>
      <c r="AI115" s="26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5"/>
      <c r="BJ115" s="5"/>
      <c r="BK115" s="5"/>
      <c r="BL115" s="5"/>
    </row>
    <row r="116" spans="1:64" x14ac:dyDescent="0.25">
      <c r="A116" s="112"/>
      <c r="B116" s="111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59">
        <f>R83</f>
        <v>7.297499999999976</v>
      </c>
      <c r="S116" s="26">
        <f>S82</f>
        <v>4.710212630355153</v>
      </c>
      <c r="T116" s="26">
        <f>T82</f>
        <v>4.710212630355153</v>
      </c>
      <c r="U116" s="26"/>
      <c r="V116" s="26"/>
      <c r="W116" s="26"/>
      <c r="X116" s="26"/>
      <c r="Y116" s="26"/>
      <c r="Z116" s="26"/>
      <c r="AA116" s="26"/>
      <c r="AB116" s="26"/>
      <c r="AC116" s="26"/>
      <c r="AD116" s="61"/>
      <c r="AE116" s="26"/>
      <c r="AF116" s="26"/>
      <c r="AG116" s="26"/>
      <c r="AH116" s="26"/>
      <c r="AI116" s="26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5"/>
      <c r="BJ116" s="5"/>
      <c r="BK116" s="5"/>
      <c r="BL116" s="5"/>
    </row>
    <row r="117" spans="1:64" x14ac:dyDescent="0.25">
      <c r="A117" s="112"/>
      <c r="B117" s="111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59">
        <f>R83</f>
        <v>7.298749999999976</v>
      </c>
      <c r="S117" s="26">
        <f>S82</f>
        <v>4.407293305574385</v>
      </c>
      <c r="T117" s="26">
        <f>T82</f>
        <v>4.407293305574385</v>
      </c>
      <c r="U117" s="26"/>
      <c r="V117" s="26"/>
      <c r="W117" s="26"/>
      <c r="X117" s="26"/>
      <c r="Y117" s="26"/>
      <c r="Z117" s="26"/>
      <c r="AA117" s="26"/>
      <c r="AB117" s="26"/>
      <c r="AC117" s="26"/>
      <c r="AD117" s="61"/>
      <c r="AE117" s="26"/>
      <c r="AF117" s="26"/>
      <c r="AG117" s="26"/>
      <c r="AH117" s="26"/>
      <c r="AI117" s="26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5"/>
      <c r="BJ117" s="5"/>
      <c r="BK117" s="5"/>
      <c r="BL117" s="5"/>
    </row>
    <row r="118" spans="1:64" x14ac:dyDescent="0.25">
      <c r="A118" s="112" t="s">
        <v>95</v>
      </c>
      <c r="B118" s="113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59">
        <f>R83</f>
        <v>7.299999999999976</v>
      </c>
      <c r="S118" s="26">
        <f>S82</f>
        <v>4.119492385454594</v>
      </c>
      <c r="T118" s="26">
        <f>T82</f>
        <v>4.119492385454594</v>
      </c>
      <c r="U118" s="26"/>
      <c r="V118" s="26"/>
      <c r="W118" s="26"/>
      <c r="X118" s="26"/>
      <c r="Y118" s="26"/>
      <c r="Z118" s="26"/>
      <c r="AA118" s="26"/>
      <c r="AB118" s="26"/>
      <c r="AC118" s="26"/>
      <c r="AD118" s="61"/>
      <c r="AE118" s="26"/>
      <c r="AF118" s="26"/>
      <c r="AG118" s="26"/>
      <c r="AH118" s="26"/>
      <c r="AI118" s="26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5"/>
      <c r="BJ118" s="5"/>
      <c r="BK118" s="5"/>
      <c r="BL118" s="5"/>
    </row>
    <row r="119" spans="1:64" x14ac:dyDescent="0.25">
      <c r="A119" s="1"/>
      <c r="B119" s="1"/>
      <c r="C119" s="1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59">
        <f>R83</f>
        <v>7.301249999999976</v>
      </c>
      <c r="S119" s="26">
        <f>S82</f>
        <v>3.8460787558390885</v>
      </c>
      <c r="T119" s="26">
        <f>T82</f>
        <v>3.8460787558390885</v>
      </c>
      <c r="U119" s="26"/>
      <c r="V119" s="26"/>
      <c r="W119" s="26"/>
      <c r="X119" s="26"/>
      <c r="Y119" s="26"/>
      <c r="Z119" s="26"/>
      <c r="AA119" s="26"/>
      <c r="AB119" s="26"/>
      <c r="AC119" s="26"/>
      <c r="AD119" s="61"/>
      <c r="AE119" s="26"/>
      <c r="AF119" s="26"/>
      <c r="AG119" s="26"/>
      <c r="AH119" s="26"/>
      <c r="AI119" s="26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5"/>
      <c r="BJ119" s="5"/>
      <c r="BK119" s="5"/>
      <c r="BL119" s="5"/>
    </row>
    <row r="120" spans="1:64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9">
        <f>R83</f>
        <v>7.302499999999975</v>
      </c>
      <c r="S120" s="26">
        <f>S82</f>
        <v>3.5863524831748523</v>
      </c>
      <c r="T120" s="26">
        <f>T82</f>
        <v>3.5863524831748523</v>
      </c>
      <c r="U120" s="26"/>
      <c r="V120" s="26"/>
      <c r="W120" s="26"/>
      <c r="X120" s="26"/>
      <c r="Y120" s="26"/>
      <c r="Z120" s="26"/>
      <c r="AA120" s="26"/>
      <c r="AB120" s="26"/>
      <c r="AC120" s="26"/>
      <c r="AD120" s="61"/>
      <c r="AE120" s="26"/>
      <c r="AF120" s="26"/>
      <c r="AG120" s="26"/>
      <c r="AH120" s="26"/>
      <c r="AI120" s="26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5"/>
      <c r="BJ120" s="5"/>
      <c r="BK120" s="5"/>
      <c r="BL120" s="5"/>
    </row>
    <row r="121" spans="1:64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9">
        <f>R83</f>
        <v>7.303749999999975</v>
      </c>
      <c r="S121" s="26">
        <f>S82</f>
        <v>3.339656512974907</v>
      </c>
      <c r="T121" s="26">
        <f>T82</f>
        <v>3.339656512974907</v>
      </c>
      <c r="U121" s="26"/>
      <c r="V121" s="26"/>
      <c r="W121" s="26"/>
      <c r="X121" s="26"/>
      <c r="Y121" s="26"/>
      <c r="Z121" s="26"/>
      <c r="AA121" s="26"/>
      <c r="AB121" s="26"/>
      <c r="AC121" s="26"/>
      <c r="AD121" s="61"/>
      <c r="AE121" s="26"/>
      <c r="AF121" s="26"/>
      <c r="AG121" s="26"/>
      <c r="AH121" s="26"/>
      <c r="AI121" s="26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5"/>
      <c r="BJ121" s="5"/>
      <c r="BK121" s="5"/>
      <c r="BL121" s="5"/>
    </row>
    <row r="122" spans="1:64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9">
        <f>R83</f>
        <v>7.304999999999975</v>
      </c>
      <c r="S122" s="26">
        <f>S82</f>
        <v>3.1053842842542734</v>
      </c>
      <c r="T122" s="26">
        <f>T82</f>
        <v>3.1053842842542734</v>
      </c>
      <c r="U122" s="26"/>
      <c r="V122" s="26"/>
      <c r="W122" s="26"/>
      <c r="X122" s="26"/>
      <c r="Y122" s="26"/>
      <c r="Z122" s="26"/>
      <c r="AA122" s="26"/>
      <c r="AB122" s="26"/>
      <c r="AC122" s="26"/>
      <c r="AD122" s="61"/>
      <c r="AE122" s="26"/>
      <c r="AF122" s="26"/>
      <c r="AG122" s="26"/>
      <c r="AH122" s="26"/>
      <c r="AI122" s="26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5"/>
      <c r="BJ122" s="5"/>
      <c r="BK122" s="5"/>
      <c r="BL122" s="5"/>
    </row>
    <row r="123" spans="1:64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9">
        <f>R83</f>
        <v>7.306249999999975</v>
      </c>
      <c r="S123" s="26">
        <f>S82</f>
        <v>2.882983655092788</v>
      </c>
      <c r="T123" s="26">
        <f>T82</f>
        <v>2.882983655092788</v>
      </c>
      <c r="U123" s="26"/>
      <c r="V123" s="26"/>
      <c r="W123" s="26"/>
      <c r="X123" s="26"/>
      <c r="Y123" s="26"/>
      <c r="Z123" s="26"/>
      <c r="AA123" s="26"/>
      <c r="AB123" s="26"/>
      <c r="AC123" s="26"/>
      <c r="AD123" s="61"/>
      <c r="AE123" s="26"/>
      <c r="AF123" s="26"/>
      <c r="AG123" s="26"/>
      <c r="AH123" s="26"/>
      <c r="AI123" s="26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5"/>
      <c r="BJ123" s="5"/>
      <c r="BK123" s="5"/>
      <c r="BL123" s="5"/>
    </row>
    <row r="124" spans="1:64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9">
        <f>R83</f>
        <v>7.307499999999974</v>
      </c>
      <c r="S124" s="26">
        <f>S82</f>
        <v>2.671957611326823</v>
      </c>
      <c r="T124" s="26">
        <f>T82</f>
        <v>2.671957611326823</v>
      </c>
      <c r="U124" s="26"/>
      <c r="V124" s="26"/>
      <c r="W124" s="26"/>
      <c r="X124" s="26"/>
      <c r="Y124" s="26"/>
      <c r="Z124" s="26"/>
      <c r="AA124" s="26"/>
      <c r="AB124" s="26"/>
      <c r="AC124" s="26"/>
      <c r="AD124" s="61"/>
      <c r="AE124" s="26"/>
      <c r="AF124" s="26"/>
      <c r="AG124" s="26"/>
      <c r="AH124" s="26"/>
      <c r="AI124" s="27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5"/>
      <c r="BJ124" s="5"/>
      <c r="BK124" s="5"/>
      <c r="BL124" s="5"/>
    </row>
    <row r="125" spans="1:64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9">
        <f>R83</f>
        <v>7.308749999999974</v>
      </c>
      <c r="S125" s="26">
        <f>S82</f>
        <v>2.4718622799727723</v>
      </c>
      <c r="T125" s="26">
        <f>T82</f>
        <v>2.4718622799727723</v>
      </c>
      <c r="U125" s="26"/>
      <c r="V125" s="26"/>
      <c r="W125" s="26"/>
      <c r="X125" s="26"/>
      <c r="Y125" s="26"/>
      <c r="Z125" s="26"/>
      <c r="AA125" s="26"/>
      <c r="AB125" s="26"/>
      <c r="AC125" s="26"/>
      <c r="AD125" s="61"/>
      <c r="AE125" s="26"/>
      <c r="AF125" s="26"/>
      <c r="AG125" s="26"/>
      <c r="AH125" s="26"/>
      <c r="AI125" s="26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5"/>
      <c r="BJ125" s="5"/>
      <c r="BK125" s="5"/>
      <c r="BL125" s="5"/>
    </row>
    <row r="126" spans="1:64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9">
        <f>R83</f>
        <v>7.309999999999974</v>
      </c>
      <c r="S126" s="26">
        <f>S82</f>
        <v>2.2823027926889745</v>
      </c>
      <c r="T126" s="26">
        <f>T82</f>
        <v>2.2823027926889745</v>
      </c>
      <c r="U126" s="26"/>
      <c r="V126" s="26"/>
      <c r="W126" s="26"/>
      <c r="X126" s="26"/>
      <c r="Y126" s="26"/>
      <c r="Z126" s="26"/>
      <c r="AA126" s="26"/>
      <c r="AB126" s="26"/>
      <c r="AC126" s="26"/>
      <c r="AD126" s="61"/>
      <c r="AE126" s="26"/>
      <c r="AF126" s="26"/>
      <c r="AG126" s="26"/>
      <c r="AH126" s="26"/>
      <c r="AI126" s="26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5"/>
      <c r="BJ126" s="5"/>
      <c r="BK126" s="5"/>
      <c r="BL126" s="5"/>
    </row>
    <row r="127" spans="1:64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9">
        <f>R83</f>
        <v>7.311249999999974</v>
      </c>
      <c r="S127" s="26">
        <f>S82</f>
        <v>2.1029275446507305</v>
      </c>
      <c r="T127" s="26">
        <f>T82</f>
        <v>2.1029275446507305</v>
      </c>
      <c r="U127" s="26"/>
      <c r="V127" s="26"/>
      <c r="W127" s="26"/>
      <c r="X127" s="26"/>
      <c r="Y127" s="26"/>
      <c r="Z127" s="26"/>
      <c r="AA127" s="26"/>
      <c r="AB127" s="26"/>
      <c r="AC127" s="26"/>
      <c r="AD127" s="61"/>
      <c r="AE127" s="26"/>
      <c r="AF127" s="26"/>
      <c r="AG127" s="26"/>
      <c r="AH127" s="26"/>
      <c r="AI127" s="26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5"/>
      <c r="BJ127" s="5"/>
      <c r="BK127" s="5"/>
      <c r="BL127" s="5"/>
    </row>
    <row r="128" spans="1:64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9">
        <f>R83</f>
        <v>7.312499999999973</v>
      </c>
      <c r="S128" s="26">
        <f>S82</f>
        <v>1.9334213736120447</v>
      </c>
      <c r="T128" s="26">
        <f>T82</f>
        <v>1.9334213736120447</v>
      </c>
      <c r="U128" s="26"/>
      <c r="V128" s="26"/>
      <c r="W128" s="26"/>
      <c r="X128" s="26"/>
      <c r="Y128" s="26"/>
      <c r="Z128" s="26"/>
      <c r="AA128" s="26"/>
      <c r="AB128" s="26"/>
      <c r="AC128" s="26"/>
      <c r="AD128" s="61"/>
      <c r="AE128" s="26"/>
      <c r="AF128" s="26"/>
      <c r="AG128" s="26"/>
      <c r="AH128" s="26"/>
      <c r="AI128" s="26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5"/>
      <c r="BJ128" s="5"/>
      <c r="BK128" s="5"/>
      <c r="BL128" s="5"/>
    </row>
    <row r="129" spans="1:64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9">
        <f>R83</f>
        <v>7.313749999999973</v>
      </c>
      <c r="S129" s="26">
        <f>S82</f>
        <v>1.7734981461181372</v>
      </c>
      <c r="T129" s="26">
        <f>T82</f>
        <v>1.7734981461181372</v>
      </c>
      <c r="U129" s="26"/>
      <c r="V129" s="26"/>
      <c r="W129" s="26"/>
      <c r="X129" s="26"/>
      <c r="Y129" s="26"/>
      <c r="Z129" s="26"/>
      <c r="AA129" s="26"/>
      <c r="AB129" s="26"/>
      <c r="AC129" s="26"/>
      <c r="AD129" s="61"/>
      <c r="AE129" s="26"/>
      <c r="AF129" s="26"/>
      <c r="AG129" s="26"/>
      <c r="AH129" s="26"/>
      <c r="AI129" s="26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5"/>
      <c r="BJ129" s="5"/>
      <c r="BK129" s="5"/>
      <c r="BL129" s="5"/>
    </row>
    <row r="130" spans="1:64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9">
        <f>R83</f>
        <v>7.314999999999973</v>
      </c>
      <c r="S130" s="26">
        <f>S82</f>
        <v>1.6228931865576437</v>
      </c>
      <c r="T130" s="26">
        <f>T82</f>
        <v>1.6228931865576437</v>
      </c>
      <c r="U130" s="26"/>
      <c r="V130" s="26"/>
      <c r="W130" s="26"/>
      <c r="X130" s="26"/>
      <c r="Y130" s="26"/>
      <c r="Z130" s="26"/>
      <c r="AA130" s="26"/>
      <c r="AB130" s="26"/>
      <c r="AC130" s="26"/>
      <c r="AD130" s="61"/>
      <c r="AE130" s="26"/>
      <c r="AF130" s="26"/>
      <c r="AG130" s="26"/>
      <c r="AH130" s="26"/>
      <c r="AI130" s="26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5"/>
      <c r="BJ130" s="5"/>
      <c r="BK130" s="5"/>
      <c r="BL130" s="5"/>
    </row>
    <row r="131" spans="1:64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9">
        <f>R83</f>
        <v>7.316249999999973</v>
      </c>
      <c r="S131" s="26">
        <f>S82</f>
        <v>1.4813559238296794</v>
      </c>
      <c r="T131" s="26">
        <f>T82</f>
        <v>1.4813559238296794</v>
      </c>
      <c r="U131" s="26"/>
      <c r="V131" s="26"/>
      <c r="W131" s="26"/>
      <c r="X131" s="26"/>
      <c r="Y131" s="26"/>
      <c r="Z131" s="26"/>
      <c r="AA131" s="26"/>
      <c r="AB131" s="26"/>
      <c r="AC131" s="26"/>
      <c r="AD131" s="61"/>
      <c r="AE131" s="26"/>
      <c r="AF131" s="26"/>
      <c r="AG131" s="26"/>
      <c r="AH131" s="26"/>
      <c r="AI131" s="26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5"/>
      <c r="BJ131" s="5"/>
      <c r="BK131" s="5"/>
      <c r="BL131" s="5"/>
    </row>
    <row r="132" spans="1:64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9">
        <f>R83</f>
        <v>7.317499999999972</v>
      </c>
      <c r="S132" s="26">
        <f>S82</f>
        <v>1.3486430635813715</v>
      </c>
      <c r="T132" s="26">
        <f>T82</f>
        <v>1.3486430635813715</v>
      </c>
      <c r="U132" s="26"/>
      <c r="V132" s="26"/>
      <c r="W132" s="26"/>
      <c r="X132" s="26"/>
      <c r="Y132" s="26"/>
      <c r="Z132" s="26"/>
      <c r="AA132" s="26"/>
      <c r="AB132" s="26"/>
      <c r="AC132" s="26"/>
      <c r="AD132" s="61"/>
      <c r="AE132" s="26"/>
      <c r="AF132" s="26"/>
      <c r="AG132" s="26"/>
      <c r="AH132" s="26"/>
      <c r="AI132" s="26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5"/>
      <c r="BJ132" s="5"/>
      <c r="BK132" s="5"/>
      <c r="BL132" s="5"/>
    </row>
    <row r="133" spans="1:64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9">
        <f>R83</f>
        <v>7.318749999999972</v>
      </c>
      <c r="S133" s="26">
        <f>S82</f>
        <v>1.2245125247327966</v>
      </c>
      <c r="T133" s="26">
        <f>T82</f>
        <v>1.2245125247327966</v>
      </c>
      <c r="U133" s="26"/>
      <c r="V133" s="26"/>
      <c r="W133" s="26"/>
      <c r="X133" s="26"/>
      <c r="Y133" s="26"/>
      <c r="Z133" s="26"/>
      <c r="AA133" s="26"/>
      <c r="AB133" s="26"/>
      <c r="AC133" s="26"/>
      <c r="AD133" s="61"/>
      <c r="AE133" s="26"/>
      <c r="AF133" s="26"/>
      <c r="AG133" s="26"/>
      <c r="AH133" s="26"/>
      <c r="AI133" s="26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5"/>
      <c r="BJ133" s="5"/>
      <c r="BK133" s="5"/>
      <c r="BL133" s="5"/>
    </row>
    <row r="134" spans="1:64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9">
        <f>R83</f>
        <v>7.319999999999972</v>
      </c>
      <c r="S134" s="26">
        <f>S82</f>
        <v>1.1087183104682048</v>
      </c>
      <c r="T134" s="26">
        <f>T82</f>
        <v>1.1087183104682048</v>
      </c>
      <c r="U134" s="26"/>
      <c r="V134" s="26"/>
      <c r="W134" s="26"/>
      <c r="X134" s="26"/>
      <c r="Y134" s="26"/>
      <c r="Z134" s="26"/>
      <c r="AA134" s="26"/>
      <c r="AB134" s="26"/>
      <c r="AC134" s="26"/>
      <c r="AD134" s="61"/>
      <c r="AE134" s="26"/>
      <c r="AF134" s="26"/>
      <c r="AG134" s="26"/>
      <c r="AH134" s="26"/>
      <c r="AI134" s="26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5"/>
      <c r="BJ134" s="5"/>
      <c r="BK134" s="5"/>
      <c r="BL134" s="5"/>
    </row>
    <row r="135" spans="1:64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9">
        <f>R83</f>
        <v>7.321249999999972</v>
      </c>
      <c r="S135" s="26">
        <f>S82</f>
        <v>1.0010064186993872</v>
      </c>
      <c r="T135" s="26">
        <f>T82</f>
        <v>1.0010064186993872</v>
      </c>
      <c r="U135" s="26"/>
      <c r="V135" s="26"/>
      <c r="W135" s="26"/>
      <c r="X135" s="26"/>
      <c r="Y135" s="26"/>
      <c r="Z135" s="26"/>
      <c r="AA135" s="26"/>
      <c r="AB135" s="26"/>
      <c r="AC135" s="26"/>
      <c r="AD135" s="61"/>
      <c r="AE135" s="26"/>
      <c r="AF135" s="26"/>
      <c r="AG135" s="26"/>
      <c r="AH135" s="26"/>
      <c r="AI135" s="26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5"/>
      <c r="BJ135" s="5"/>
      <c r="BK135" s="5"/>
      <c r="BL135" s="5"/>
    </row>
    <row r="136" spans="1:64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9">
        <f>R83</f>
        <v>7.322499999999971</v>
      </c>
      <c r="S136" s="26">
        <f>S82</f>
        <v>0.9011118373522189</v>
      </c>
      <c r="T136" s="26">
        <f>T82</f>
        <v>0.9011118373522189</v>
      </c>
      <c r="U136" s="26"/>
      <c r="V136" s="26"/>
      <c r="W136" s="26"/>
      <c r="X136" s="26"/>
      <c r="Y136" s="26"/>
      <c r="Z136" s="26"/>
      <c r="AA136" s="26"/>
      <c r="AB136" s="26"/>
      <c r="AC136" s="26"/>
      <c r="AD136" s="61"/>
      <c r="AE136" s="26"/>
      <c r="AF136" s="26"/>
      <c r="AG136" s="26"/>
      <c r="AH136" s="26"/>
      <c r="AI136" s="27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5"/>
      <c r="BJ136" s="5"/>
      <c r="BK136" s="5"/>
      <c r="BL136" s="5"/>
    </row>
    <row r="137" spans="1:64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9">
        <f>R83</f>
        <v>7.323749999999971</v>
      </c>
      <c r="S137" s="26">
        <f>S82</f>
        <v>0.8087566173087</v>
      </c>
      <c r="T137" s="26">
        <f>T82</f>
        <v>0.8087566173087</v>
      </c>
      <c r="U137" s="26"/>
      <c r="V137" s="26"/>
      <c r="W137" s="26"/>
      <c r="X137" s="26"/>
      <c r="Y137" s="26"/>
      <c r="Z137" s="26"/>
      <c r="AA137" s="26"/>
      <c r="AB137" s="26"/>
      <c r="AC137" s="26"/>
      <c r="AD137" s="61"/>
      <c r="AE137" s="26"/>
      <c r="AF137" s="26"/>
      <c r="AG137" s="26"/>
      <c r="AH137" s="26"/>
      <c r="AI137" s="26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5"/>
      <c r="BJ137" s="5"/>
      <c r="BK137" s="5"/>
      <c r="BL137" s="5"/>
    </row>
    <row r="138" spans="1:64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9">
        <f>R83</f>
        <v>7.324999999999971</v>
      </c>
      <c r="S138" s="26">
        <f>S82</f>
        <v>0.7236489715399861</v>
      </c>
      <c r="T138" s="26">
        <f>T82</f>
        <v>0.7236489715399861</v>
      </c>
      <c r="U138" s="26"/>
      <c r="V138" s="26"/>
      <c r="W138" s="26"/>
      <c r="X138" s="26"/>
      <c r="Y138" s="26"/>
      <c r="Z138" s="26"/>
      <c r="AA138" s="26"/>
      <c r="AB138" s="26"/>
      <c r="AC138" s="26"/>
      <c r="AD138" s="61"/>
      <c r="AE138" s="26"/>
      <c r="AF138" s="26"/>
      <c r="AG138" s="26"/>
      <c r="AH138" s="26"/>
      <c r="AI138" s="26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5"/>
      <c r="BJ138" s="5"/>
      <c r="BK138" s="5"/>
      <c r="BL138" s="5"/>
    </row>
    <row r="139" spans="1:6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9">
        <f>R83</f>
        <v>7.326249999999971</v>
      </c>
      <c r="S139" s="26">
        <f>S82</f>
        <v>0.6454833134728367</v>
      </c>
      <c r="T139" s="26">
        <f>T82</f>
        <v>0.6454833134728367</v>
      </c>
      <c r="U139" s="26"/>
      <c r="V139" s="26"/>
      <c r="W139" s="26"/>
      <c r="X139" s="26"/>
      <c r="Y139" s="26"/>
      <c r="Z139" s="26"/>
      <c r="AA139" s="26"/>
      <c r="AB139" s="26"/>
      <c r="AC139" s="26"/>
      <c r="AD139" s="61"/>
      <c r="AE139" s="26"/>
      <c r="AF139" s="26"/>
      <c r="AG139" s="26"/>
      <c r="AH139" s="26"/>
      <c r="AI139" s="26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5"/>
      <c r="BJ139" s="5"/>
      <c r="BK139" s="5"/>
      <c r="BL139" s="5"/>
    </row>
    <row r="140" spans="1:6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9">
        <f>R83</f>
        <v>7.32749999999997</v>
      </c>
      <c r="S140" s="26">
        <f>S82</f>
        <v>0.5739411210673624</v>
      </c>
      <c r="T140" s="26">
        <f>T82</f>
        <v>0.5739411210673624</v>
      </c>
      <c r="U140" s="26"/>
      <c r="V140" s="26"/>
      <c r="W140" s="26"/>
      <c r="X140" s="26"/>
      <c r="Y140" s="26"/>
      <c r="Z140" s="26"/>
      <c r="AA140" s="26"/>
      <c r="AB140" s="26"/>
      <c r="AC140" s="26"/>
      <c r="AD140" s="61"/>
      <c r="AE140" s="26"/>
      <c r="AF140" s="26"/>
      <c r="AG140" s="26"/>
      <c r="AH140" s="26"/>
      <c r="AI140" s="26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5"/>
      <c r="BJ140" s="5"/>
      <c r="BK140" s="5"/>
      <c r="BL140" s="5"/>
    </row>
    <row r="141" spans="1:6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9">
        <f>R83</f>
        <v>7.32874999999997</v>
      </c>
      <c r="S141" s="26">
        <f>S82</f>
        <v>0.508692495177389</v>
      </c>
      <c r="T141" s="26">
        <f>T82</f>
        <v>0.508692495177389</v>
      </c>
      <c r="U141" s="26"/>
      <c r="V141" s="26"/>
      <c r="W141" s="26"/>
      <c r="X141" s="26"/>
      <c r="Y141" s="26"/>
      <c r="Z141" s="26"/>
      <c r="AA141" s="26"/>
      <c r="AB141" s="26"/>
      <c r="AC141" s="26"/>
      <c r="AD141" s="61"/>
      <c r="AE141" s="26"/>
      <c r="AF141" s="26"/>
      <c r="AG141" s="26"/>
      <c r="AH141" s="26"/>
      <c r="AI141" s="26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5"/>
      <c r="BJ141" s="5"/>
      <c r="BK141" s="5"/>
      <c r="BL141" s="5"/>
    </row>
    <row r="142" spans="1:6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9">
        <f>R83</f>
        <v>7.32999999999997</v>
      </c>
      <c r="S142" s="26">
        <f>S82</f>
        <v>0.449398270920865</v>
      </c>
      <c r="T142" s="26">
        <f>T82</f>
        <v>0.449398270920865</v>
      </c>
      <c r="U142" s="26"/>
      <c r="V142" s="26"/>
      <c r="W142" s="26"/>
      <c r="X142" s="26"/>
      <c r="Y142" s="26"/>
      <c r="Z142" s="26"/>
      <c r="AA142" s="26"/>
      <c r="AB142" s="26"/>
      <c r="AC142" s="26"/>
      <c r="AD142" s="61"/>
      <c r="AE142" s="26"/>
      <c r="AF142" s="26"/>
      <c r="AG142" s="26"/>
      <c r="AH142" s="26"/>
      <c r="AI142" s="26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5"/>
      <c r="BJ142" s="5"/>
      <c r="BK142" s="5"/>
      <c r="BL142" s="5"/>
    </row>
    <row r="143" spans="1:6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9">
        <f>R83</f>
        <v>7.33124999999997</v>
      </c>
      <c r="S143" s="26">
        <f>S82</f>
        <v>0.3957125381620409</v>
      </c>
      <c r="T143" s="26">
        <f>T82</f>
        <v>0.3957125381620409</v>
      </c>
      <c r="U143" s="26"/>
      <c r="V143" s="26"/>
      <c r="W143" s="26"/>
      <c r="X143" s="26"/>
      <c r="Y143" s="26"/>
      <c r="Z143" s="26"/>
      <c r="AA143" s="26"/>
      <c r="AB143" s="26"/>
      <c r="AC143" s="26"/>
      <c r="AD143" s="61"/>
      <c r="AE143" s="26"/>
      <c r="AF143" s="26"/>
      <c r="AG143" s="26"/>
      <c r="AH143" s="26"/>
      <c r="AI143" s="26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5"/>
      <c r="BJ143" s="5"/>
      <c r="BK143" s="5"/>
      <c r="BL143" s="5"/>
    </row>
    <row r="144" spans="1:6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9">
        <f>R83</f>
        <v>7.332499999999969</v>
      </c>
      <c r="S144" s="26">
        <f>S82</f>
        <v>0.34728543078101387</v>
      </c>
      <c r="T144" s="26">
        <f>T82</f>
        <v>0.34728543078101387</v>
      </c>
      <c r="U144" s="26"/>
      <c r="V144" s="26"/>
      <c r="W144" s="26"/>
      <c r="X144" s="26"/>
      <c r="Y144" s="26"/>
      <c r="Z144" s="26"/>
      <c r="AA144" s="26"/>
      <c r="AB144" s="26"/>
      <c r="AC144" s="26"/>
      <c r="AD144" s="61"/>
      <c r="AE144" s="26"/>
      <c r="AF144" s="26"/>
      <c r="AG144" s="26"/>
      <c r="AH144" s="26"/>
      <c r="AI144" s="26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5"/>
      <c r="BJ144" s="5"/>
      <c r="BK144" s="5"/>
      <c r="BL144" s="5"/>
    </row>
    <row r="145" spans="1:6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9">
        <f>R83</f>
        <v>7.333749999999969</v>
      </c>
      <c r="S145" s="26">
        <f>S82</f>
        <v>0.30376605305929616</v>
      </c>
      <c r="T145" s="26">
        <f>T82</f>
        <v>0.30376605305929616</v>
      </c>
      <c r="U145" s="26"/>
      <c r="V145" s="26"/>
      <c r="W145" s="26"/>
      <c r="X145" s="26"/>
      <c r="Y145" s="26"/>
      <c r="Z145" s="26"/>
      <c r="AA145" s="26"/>
      <c r="AB145" s="26"/>
      <c r="AC145" s="26"/>
      <c r="AD145" s="61"/>
      <c r="AE145" s="26"/>
      <c r="AF145" s="26"/>
      <c r="AG145" s="26"/>
      <c r="AH145" s="26"/>
      <c r="AI145" s="26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5"/>
      <c r="BJ145" s="5"/>
      <c r="BK145" s="5"/>
      <c r="BL145" s="5"/>
    </row>
    <row r="146" spans="1:6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9">
        <f>R83</f>
        <v>7.334999999999969</v>
      </c>
      <c r="S146" s="26">
        <f t="shared" ref="S146:S209" si="19">IF(T146&lt;0," ",T146)</f>
        <v>0.26480542408510244</v>
      </c>
      <c r="T146" s="26">
        <f t="shared" ref="T146:T209" si="20">(0.39894228/$F$34)*EXP(-((R146-$F$33)^2)/(2*$F$34^2))*(1-0.5*$M$37*((R146-$F$33)/$F$34-(R146-$F$33)^3/(3*$F$34^3)))</f>
        <v>0.26480542408510244</v>
      </c>
      <c r="U146" s="26"/>
      <c r="V146" s="26"/>
      <c r="W146" s="26"/>
      <c r="X146" s="26"/>
      <c r="Y146" s="26"/>
      <c r="Z146" s="26"/>
      <c r="AA146" s="26"/>
      <c r="AB146" s="26"/>
      <c r="AC146" s="26"/>
      <c r="AD146" s="61"/>
      <c r="AE146" s="26"/>
      <c r="AF146" s="26"/>
      <c r="AG146" s="26"/>
      <c r="AH146" s="26"/>
      <c r="AI146" s="26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5"/>
      <c r="BJ146" s="5"/>
      <c r="BK146" s="5"/>
      <c r="BL146" s="5"/>
    </row>
    <row r="147" spans="1:6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9">
        <f t="shared" ref="R147:R210" si="21">R146+$R$17</f>
        <v>7.336249999999969</v>
      </c>
      <c r="S147" s="26">
        <f>S146</f>
        <v>0.2300593364422667</v>
      </c>
      <c r="T147" s="26">
        <f>T146</f>
        <v>0.2300593364422667</v>
      </c>
      <c r="U147" s="26"/>
      <c r="V147" s="26"/>
      <c r="W147" s="26"/>
      <c r="X147" s="26"/>
      <c r="Y147" s="26"/>
      <c r="Z147" s="26"/>
      <c r="AA147" s="26"/>
      <c r="AB147" s="26"/>
      <c r="AC147" s="26"/>
      <c r="AD147" s="61"/>
      <c r="AE147" s="26"/>
      <c r="AF147" s="26"/>
      <c r="AG147" s="26"/>
      <c r="AH147" s="26"/>
      <c r="AI147" s="26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5"/>
      <c r="BJ147" s="5"/>
      <c r="BK147" s="5"/>
      <c r="BL147" s="5"/>
    </row>
    <row r="148" spans="1:6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9">
        <f>R147</f>
        <v>7.337499999999968</v>
      </c>
      <c r="S148" s="26">
        <f>S146</f>
        <v>0.19919104252203648</v>
      </c>
      <c r="T148" s="26">
        <f>T146</f>
        <v>0.19919104252203648</v>
      </c>
      <c r="U148" s="26"/>
      <c r="V148" s="26"/>
      <c r="W148" s="26"/>
      <c r="X148" s="26"/>
      <c r="Y148" s="26"/>
      <c r="Z148" s="26"/>
      <c r="AA148" s="26"/>
      <c r="AB148" s="26"/>
      <c r="AC148" s="26"/>
      <c r="AD148" s="61"/>
      <c r="AE148" s="26"/>
      <c r="AF148" s="26"/>
      <c r="AG148" s="26"/>
      <c r="AH148" s="26"/>
      <c r="AI148" s="27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5"/>
      <c r="BJ148" s="5"/>
      <c r="BK148" s="5"/>
      <c r="BL148" s="5"/>
    </row>
    <row r="149" spans="1:6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9">
        <f>R147</f>
        <v>7.338749999999968</v>
      </c>
      <c r="S149" s="26">
        <f>S146</f>
        <v>0.17187369962059146</v>
      </c>
      <c r="T149" s="26">
        <f>T146</f>
        <v>0.17187369962059146</v>
      </c>
      <c r="U149" s="26"/>
      <c r="V149" s="26"/>
      <c r="W149" s="26"/>
      <c r="X149" s="26"/>
      <c r="Y149" s="26"/>
      <c r="Z149" s="26"/>
      <c r="AA149" s="26"/>
      <c r="AB149" s="26"/>
      <c r="AC149" s="26"/>
      <c r="AD149" s="61"/>
      <c r="AE149" s="26"/>
      <c r="AF149" s="26"/>
      <c r="AG149" s="26"/>
      <c r="AH149" s="26"/>
      <c r="AI149" s="26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5"/>
      <c r="BJ149" s="5"/>
      <c r="BK149" s="5"/>
      <c r="BL149" s="5"/>
    </row>
    <row r="150" spans="1:6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9">
        <f>R147</f>
        <v>7.339999999999968</v>
      </c>
      <c r="S150" s="26">
        <f>S146</f>
        <v>0.1477925227184106</v>
      </c>
      <c r="T150" s="26">
        <f>T146</f>
        <v>0.1477925227184106</v>
      </c>
      <c r="U150" s="26"/>
      <c r="V150" s="26"/>
      <c r="W150" s="26"/>
      <c r="X150" s="26"/>
      <c r="Y150" s="26"/>
      <c r="Z150" s="26"/>
      <c r="AA150" s="26"/>
      <c r="AB150" s="26"/>
      <c r="AC150" s="26"/>
      <c r="AD150" s="61"/>
      <c r="AE150" s="26"/>
      <c r="AF150" s="26"/>
      <c r="AG150" s="26"/>
      <c r="AH150" s="26"/>
      <c r="AI150" s="26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5"/>
      <c r="BJ150" s="5"/>
      <c r="BK150" s="5"/>
      <c r="BL150" s="5"/>
    </row>
    <row r="151" spans="1:6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9">
        <f>R147</f>
        <v>7.341249999999968</v>
      </c>
      <c r="S151" s="26">
        <f>S146</f>
        <v>0.12664661078578215</v>
      </c>
      <c r="T151" s="26">
        <f>T146</f>
        <v>0.12664661078578215</v>
      </c>
      <c r="U151" s="26"/>
      <c r="V151" s="26"/>
      <c r="W151" s="26"/>
      <c r="X151" s="26"/>
      <c r="Y151" s="26"/>
      <c r="Z151" s="26"/>
      <c r="AA151" s="26"/>
      <c r="AB151" s="26"/>
      <c r="AC151" s="26"/>
      <c r="AD151" s="61"/>
      <c r="AE151" s="26"/>
      <c r="AF151" s="26"/>
      <c r="AG151" s="26"/>
      <c r="AH151" s="26"/>
      <c r="AI151" s="26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5"/>
      <c r="BJ151" s="5"/>
      <c r="BK151" s="5"/>
      <c r="BL151" s="5"/>
    </row>
    <row r="152" spans="1:6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9">
        <f>R147</f>
        <v>7.342499999999967</v>
      </c>
      <c r="S152" s="26">
        <f>S146</f>
        <v>0.1081504280766911</v>
      </c>
      <c r="T152" s="26">
        <f>T146</f>
        <v>0.1081504280766911</v>
      </c>
      <c r="U152" s="26"/>
      <c r="V152" s="26"/>
      <c r="W152" s="26"/>
      <c r="X152" s="26"/>
      <c r="Y152" s="26"/>
      <c r="Z152" s="26"/>
      <c r="AA152" s="26"/>
      <c r="AB152" s="26"/>
      <c r="AC152" s="26"/>
      <c r="AD152" s="61"/>
      <c r="AE152" s="26"/>
      <c r="AF152" s="26"/>
      <c r="AG152" s="26"/>
      <c r="AH152" s="26"/>
      <c r="AI152" s="26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5"/>
      <c r="BJ152" s="5"/>
      <c r="BK152" s="5"/>
      <c r="BL152" s="5"/>
    </row>
    <row r="153" spans="1:6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9">
        <f>R147</f>
        <v>7.343749999999967</v>
      </c>
      <c r="S153" s="26">
        <f>S146</f>
        <v>0.09203493576392689</v>
      </c>
      <c r="T153" s="26">
        <f>T146</f>
        <v>0.09203493576392689</v>
      </c>
      <c r="U153" s="26"/>
      <c r="V153" s="26"/>
      <c r="W153" s="26"/>
      <c r="X153" s="26"/>
      <c r="Y153" s="26"/>
      <c r="Z153" s="26"/>
      <c r="AA153" s="26"/>
      <c r="AB153" s="26"/>
      <c r="AC153" s="26"/>
      <c r="AD153" s="61"/>
      <c r="AE153" s="26"/>
      <c r="AF153" s="26"/>
      <c r="AG153" s="26"/>
      <c r="AH153" s="26"/>
      <c r="AI153" s="26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5"/>
      <c r="BJ153" s="5"/>
      <c r="BK153" s="5"/>
      <c r="BL153" s="5"/>
    </row>
    <row r="154" spans="1:6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9">
        <f>R147</f>
        <v>7.344999999999967</v>
      </c>
      <c r="S154" s="26">
        <f>S146</f>
        <v>0.07804838117399632</v>
      </c>
      <c r="T154" s="26">
        <f>T146</f>
        <v>0.07804838117399632</v>
      </c>
      <c r="U154" s="26"/>
      <c r="V154" s="26"/>
      <c r="W154" s="26"/>
      <c r="X154" s="26"/>
      <c r="Y154" s="26"/>
      <c r="Z154" s="26"/>
      <c r="AA154" s="26"/>
      <c r="AB154" s="26"/>
      <c r="AC154" s="26"/>
      <c r="AD154" s="61"/>
      <c r="AE154" s="26"/>
      <c r="AF154" s="26"/>
      <c r="AG154" s="26"/>
      <c r="AH154" s="26"/>
      <c r="AI154" s="26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5"/>
      <c r="BJ154" s="5"/>
      <c r="BK154" s="5"/>
      <c r="BL154" s="5"/>
    </row>
    <row r="155" spans="1:6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9">
        <f>R147</f>
        <v>7.346249999999967</v>
      </c>
      <c r="S155" s="26">
        <f>S146</f>
        <v>0.0659567616702509</v>
      </c>
      <c r="T155" s="26">
        <f>T146</f>
        <v>0.0659567616702509</v>
      </c>
      <c r="U155" s="26"/>
      <c r="V155" s="26"/>
      <c r="W155" s="26"/>
      <c r="X155" s="26"/>
      <c r="Y155" s="26"/>
      <c r="Z155" s="26"/>
      <c r="AA155" s="26"/>
      <c r="AB155" s="26"/>
      <c r="AC155" s="26"/>
      <c r="AD155" s="61"/>
      <c r="AE155" s="26"/>
      <c r="AF155" s="26"/>
      <c r="AG155" s="26"/>
      <c r="AH155" s="26"/>
      <c r="AI155" s="26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5"/>
      <c r="BJ155" s="5"/>
      <c r="BK155" s="5"/>
      <c r="BL155" s="5"/>
    </row>
    <row r="156" spans="1:6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9">
        <f>R147</f>
        <v>7.347499999999966</v>
      </c>
      <c r="S156" s="26">
        <f>S146</f>
        <v>0.05554398788522027</v>
      </c>
      <c r="T156" s="26">
        <f>T146</f>
        <v>0.05554398788522027</v>
      </c>
      <c r="U156" s="26"/>
      <c r="V156" s="26"/>
      <c r="W156" s="26"/>
      <c r="X156" s="26"/>
      <c r="Y156" s="26"/>
      <c r="Z156" s="26"/>
      <c r="AA156" s="26"/>
      <c r="AB156" s="26"/>
      <c r="AC156" s="26"/>
      <c r="AD156" s="61"/>
      <c r="AE156" s="26"/>
      <c r="AF156" s="26"/>
      <c r="AG156" s="26"/>
      <c r="AH156" s="26"/>
      <c r="AI156" s="26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5"/>
      <c r="BJ156" s="5"/>
      <c r="BK156" s="5"/>
      <c r="BL156" s="5"/>
    </row>
    <row r="157" spans="1:6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9">
        <f>R147</f>
        <v>7.348749999999966</v>
      </c>
      <c r="S157" s="26">
        <f>S146</f>
        <v>0.046611776588286365</v>
      </c>
      <c r="T157" s="26">
        <f>T146</f>
        <v>0.046611776588286365</v>
      </c>
      <c r="U157" s="26"/>
      <c r="V157" s="26"/>
      <c r="W157" s="26"/>
      <c r="X157" s="26"/>
      <c r="Y157" s="26"/>
      <c r="Z157" s="26"/>
      <c r="AA157" s="26"/>
      <c r="AB157" s="26"/>
      <c r="AC157" s="26"/>
      <c r="AD157" s="61"/>
      <c r="AE157" s="26"/>
      <c r="AF157" s="26"/>
      <c r="AG157" s="26"/>
      <c r="AH157" s="26"/>
      <c r="AI157" s="26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5"/>
      <c r="BJ157" s="5"/>
      <c r="BK157" s="5"/>
      <c r="BL157" s="5"/>
    </row>
    <row r="158" spans="1:6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9">
        <f>R147</f>
        <v>7.349999999999966</v>
      </c>
      <c r="S158" s="26">
        <f>S146</f>
        <v>0.038979307133994105</v>
      </c>
      <c r="T158" s="26">
        <f>T146</f>
        <v>0.038979307133994105</v>
      </c>
      <c r="U158" s="26"/>
      <c r="V158" s="26"/>
      <c r="W158" s="26"/>
      <c r="X158" s="26"/>
      <c r="Y158" s="26"/>
      <c r="Z158" s="26"/>
      <c r="AA158" s="26"/>
      <c r="AB158" s="26"/>
      <c r="AC158" s="26"/>
      <c r="AD158" s="61"/>
      <c r="AE158" s="26"/>
      <c r="AF158" s="26"/>
      <c r="AG158" s="26"/>
      <c r="AH158" s="26"/>
      <c r="AI158" s="26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5"/>
      <c r="BJ158" s="5"/>
      <c r="BK158" s="5"/>
      <c r="BL158" s="5"/>
    </row>
    <row r="159" spans="1:6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9">
        <f>R147</f>
        <v>7.351249999999966</v>
      </c>
      <c r="S159" s="26">
        <f>S146</f>
        <v>0.03248267736349145</v>
      </c>
      <c r="T159" s="26">
        <f>T146</f>
        <v>0.03248267736349145</v>
      </c>
      <c r="U159" s="26"/>
      <c r="V159" s="26"/>
      <c r="W159" s="26"/>
      <c r="X159" s="26"/>
      <c r="Y159" s="26"/>
      <c r="Z159" s="26"/>
      <c r="AA159" s="26"/>
      <c r="AB159" s="26"/>
      <c r="AC159" s="26"/>
      <c r="AD159" s="61"/>
      <c r="AE159" s="26"/>
      <c r="AF159" s="26"/>
      <c r="AG159" s="26"/>
      <c r="AH159" s="26"/>
      <c r="AI159" s="26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5"/>
      <c r="BJ159" s="5"/>
      <c r="BK159" s="5"/>
      <c r="BL159" s="5"/>
    </row>
    <row r="160" spans="1:6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9">
        <f>R147</f>
        <v>7.352499999999965</v>
      </c>
      <c r="S160" s="26">
        <f>S146</f>
        <v>0.026974195255434364</v>
      </c>
      <c r="T160" s="26">
        <f>T146</f>
        <v>0.026974195255434364</v>
      </c>
      <c r="U160" s="26"/>
      <c r="V160" s="26"/>
      <c r="W160" s="26"/>
      <c r="X160" s="26"/>
      <c r="Y160" s="26"/>
      <c r="Z160" s="26"/>
      <c r="AA160" s="26"/>
      <c r="AB160" s="26"/>
      <c r="AC160" s="26"/>
      <c r="AD160" s="61"/>
      <c r="AE160" s="26"/>
      <c r="AF160" s="26"/>
      <c r="AG160" s="26"/>
      <c r="AH160" s="26"/>
      <c r="AI160" s="27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5"/>
      <c r="BJ160" s="5"/>
      <c r="BK160" s="5"/>
      <c r="BL160" s="5"/>
    </row>
    <row r="161" spans="1:6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9">
        <f>R147</f>
        <v>7.353749999999965</v>
      </c>
      <c r="S161" s="26">
        <f>S146</f>
        <v>0.02232154179022201</v>
      </c>
      <c r="T161" s="26">
        <f>T146</f>
        <v>0.02232154179022201</v>
      </c>
      <c r="U161" s="26"/>
      <c r="V161" s="26"/>
      <c r="W161" s="26"/>
      <c r="X161" s="26"/>
      <c r="Y161" s="26"/>
      <c r="Z161" s="26"/>
      <c r="AA161" s="26"/>
      <c r="AB161" s="26"/>
      <c r="AC161" s="26"/>
      <c r="AD161" s="61"/>
      <c r="AE161" s="26"/>
      <c r="AF161" s="26"/>
      <c r="AG161" s="26"/>
      <c r="AH161" s="26"/>
      <c r="AI161" s="26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5"/>
      <c r="BJ161" s="5"/>
      <c r="BK161" s="5"/>
      <c r="BL161" s="5"/>
    </row>
    <row r="162" spans="1:6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9">
        <f>R147</f>
        <v>7.354999999999965</v>
      </c>
      <c r="S162" s="26">
        <f>S146</f>
        <v>0.018406838654201067</v>
      </c>
      <c r="T162" s="26">
        <f>T146</f>
        <v>0.018406838654201067</v>
      </c>
      <c r="U162" s="26"/>
      <c r="V162" s="26"/>
      <c r="W162" s="26"/>
      <c r="X162" s="26"/>
      <c r="Y162" s="26"/>
      <c r="Z162" s="26"/>
      <c r="AA162" s="26"/>
      <c r="AB162" s="26"/>
      <c r="AC162" s="26"/>
      <c r="AD162" s="61"/>
      <c r="AE162" s="26"/>
      <c r="AF162" s="26"/>
      <c r="AG162" s="26"/>
      <c r="AH162" s="26"/>
      <c r="AI162" s="26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5"/>
      <c r="BJ162" s="5"/>
      <c r="BK162" s="5"/>
      <c r="BL162" s="5"/>
    </row>
    <row r="163" spans="1:6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9">
        <f>R147</f>
        <v>7.356249999999965</v>
      </c>
      <c r="S163" s="26">
        <f>S146</f>
        <v>0.015125651813058302</v>
      </c>
      <c r="T163" s="26">
        <f>T146</f>
        <v>0.015125651813058302</v>
      </c>
      <c r="U163" s="26"/>
      <c r="V163" s="26"/>
      <c r="W163" s="26"/>
      <c r="X163" s="26"/>
      <c r="Y163" s="26"/>
      <c r="Z163" s="26"/>
      <c r="AA163" s="26"/>
      <c r="AB163" s="26"/>
      <c r="AC163" s="26"/>
      <c r="AD163" s="61"/>
      <c r="AE163" s="26"/>
      <c r="AF163" s="26"/>
      <c r="AG163" s="26"/>
      <c r="AH163" s="26"/>
      <c r="AI163" s="26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5"/>
      <c r="BJ163" s="5"/>
      <c r="BK163" s="5"/>
      <c r="BL163" s="5"/>
    </row>
    <row r="164" spans="1:6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9">
        <f>R147</f>
        <v>7.357499999999964</v>
      </c>
      <c r="S164" s="26">
        <f>S146</f>
        <v>0.012385958854686263</v>
      </c>
      <c r="T164" s="26">
        <f>T146</f>
        <v>0.012385958854686263</v>
      </c>
      <c r="U164" s="26"/>
      <c r="V164" s="26"/>
      <c r="W164" s="26"/>
      <c r="X164" s="26"/>
      <c r="Y164" s="26"/>
      <c r="Z164" s="26"/>
      <c r="AA164" s="26"/>
      <c r="AB164" s="26"/>
      <c r="AC164" s="26"/>
      <c r="AD164" s="61"/>
      <c r="AE164" s="26"/>
      <c r="AF164" s="26"/>
      <c r="AG164" s="26"/>
      <c r="AH164" s="26"/>
      <c r="AI164" s="26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5"/>
      <c r="BJ164" s="5"/>
      <c r="BK164" s="5"/>
      <c r="BL164" s="5"/>
    </row>
    <row r="165" spans="1:6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9">
        <f>R147</f>
        <v>7.358749999999964</v>
      </c>
      <c r="S165" s="26">
        <f>S146</f>
        <v>0.010107104547581802</v>
      </c>
      <c r="T165" s="26">
        <f>T146</f>
        <v>0.010107104547581802</v>
      </c>
      <c r="U165" s="26"/>
      <c r="V165" s="26"/>
      <c r="W165" s="26"/>
      <c r="X165" s="26"/>
      <c r="Y165" s="26"/>
      <c r="Z165" s="26"/>
      <c r="AA165" s="26"/>
      <c r="AB165" s="26"/>
      <c r="AC165" s="26"/>
      <c r="AD165" s="61"/>
      <c r="AE165" s="26"/>
      <c r="AF165" s="26"/>
      <c r="AG165" s="26"/>
      <c r="AH165" s="26"/>
      <c r="AI165" s="26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5"/>
      <c r="BJ165" s="5"/>
      <c r="BK165" s="5"/>
      <c r="BL165" s="5"/>
    </row>
    <row r="166" spans="1:6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9">
        <f>R147</f>
        <v>7.359999999999964</v>
      </c>
      <c r="S166" s="26">
        <f>S146</f>
        <v>0.008218765460950699</v>
      </c>
      <c r="T166" s="26">
        <f>T146</f>
        <v>0.008218765460950699</v>
      </c>
      <c r="U166" s="26"/>
      <c r="V166" s="26"/>
      <c r="W166" s="26"/>
      <c r="X166" s="26"/>
      <c r="Y166" s="26"/>
      <c r="Z166" s="26"/>
      <c r="AA166" s="26"/>
      <c r="AB166" s="26"/>
      <c r="AC166" s="26"/>
      <c r="AD166" s="61"/>
      <c r="AE166" s="26"/>
      <c r="AF166" s="26"/>
      <c r="AG166" s="26"/>
      <c r="AH166" s="26"/>
      <c r="AI166" s="26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5"/>
      <c r="BJ166" s="5"/>
      <c r="BK166" s="5"/>
      <c r="BL166" s="5"/>
    </row>
    <row r="167" spans="1:6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9">
        <f>R147</f>
        <v>7.361249999999964</v>
      </c>
      <c r="S167" s="26">
        <f>S146</f>
        <v>0.006659940897892828</v>
      </c>
      <c r="T167" s="26">
        <f>T146</f>
        <v>0.006659940897892828</v>
      </c>
      <c r="U167" s="26"/>
      <c r="V167" s="26"/>
      <c r="W167" s="26"/>
      <c r="X167" s="26"/>
      <c r="Y167" s="26"/>
      <c r="Z167" s="26"/>
      <c r="AA167" s="26"/>
      <c r="AB167" s="26"/>
      <c r="AC167" s="26"/>
      <c r="AD167" s="61"/>
      <c r="AE167" s="26"/>
      <c r="AF167" s="26"/>
      <c r="AG167" s="26"/>
      <c r="AH167" s="26"/>
      <c r="AI167" s="26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5"/>
      <c r="BJ167" s="5"/>
      <c r="BK167" s="5"/>
      <c r="BL167" s="5"/>
    </row>
    <row r="168" spans="1:6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9">
        <f>R147</f>
        <v>7.362499999999963</v>
      </c>
      <c r="S168" s="26">
        <f>S146</f>
        <v>0.0053779839247766695</v>
      </c>
      <c r="T168" s="26">
        <f>T146</f>
        <v>0.0053779839247766695</v>
      </c>
      <c r="U168" s="26"/>
      <c r="V168" s="26"/>
      <c r="W168" s="26"/>
      <c r="X168" s="26"/>
      <c r="Y168" s="26"/>
      <c r="Z168" s="26"/>
      <c r="AA168" s="26"/>
      <c r="AB168" s="26"/>
      <c r="AC168" s="26"/>
      <c r="AD168" s="61"/>
      <c r="AE168" s="26"/>
      <c r="AF168" s="26"/>
      <c r="AG168" s="26"/>
      <c r="AH168" s="26"/>
      <c r="AI168" s="26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5"/>
      <c r="BJ168" s="5"/>
      <c r="BK168" s="22"/>
      <c r="BL168" s="22"/>
    </row>
    <row r="169" spans="1:6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9">
        <f>R147</f>
        <v>7.363749999999963</v>
      </c>
      <c r="S169" s="26">
        <f>S146</f>
        <v>0.004327683031160283</v>
      </c>
      <c r="T169" s="26">
        <f>T146</f>
        <v>0.004327683031160283</v>
      </c>
      <c r="U169" s="26"/>
      <c r="V169" s="26"/>
      <c r="W169" s="26"/>
      <c r="X169" s="26"/>
      <c r="Y169" s="26"/>
      <c r="Z169" s="26"/>
      <c r="AA169" s="26"/>
      <c r="AB169" s="26"/>
      <c r="AC169" s="26"/>
      <c r="AD169" s="61"/>
      <c r="AE169" s="26"/>
      <c r="AF169" s="26"/>
      <c r="AG169" s="26"/>
      <c r="AH169" s="26"/>
      <c r="AI169" s="26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5"/>
      <c r="BJ169" s="5"/>
      <c r="BK169" s="5"/>
      <c r="BL169" s="5"/>
    </row>
    <row r="170" spans="1:6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9">
        <f>R147</f>
        <v>7.364999999999963</v>
      </c>
      <c r="S170" s="26">
        <f>S146</f>
        <v>0.003470401991886937</v>
      </c>
      <c r="T170" s="26">
        <f>T146</f>
        <v>0.003470401991886937</v>
      </c>
      <c r="U170" s="26"/>
      <c r="V170" s="26"/>
      <c r="W170" s="26"/>
      <c r="X170" s="26"/>
      <c r="Y170" s="26"/>
      <c r="Z170" s="26"/>
      <c r="AA170" s="26"/>
      <c r="AB170" s="26"/>
      <c r="AC170" s="26"/>
      <c r="AD170" s="61"/>
      <c r="AE170" s="26"/>
      <c r="AF170" s="26"/>
      <c r="AG170" s="26"/>
      <c r="AH170" s="26"/>
      <c r="AI170" s="26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5"/>
      <c r="BJ170" s="5"/>
      <c r="BK170" s="5"/>
      <c r="BL170" s="5"/>
    </row>
    <row r="171" spans="1:6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9">
        <f>R147</f>
        <v>7.366249999999963</v>
      </c>
      <c r="S171" s="26">
        <f>S146</f>
        <v>0.002773282868988648</v>
      </c>
      <c r="T171" s="26">
        <f>T146</f>
        <v>0.002773282868988648</v>
      </c>
      <c r="U171" s="26"/>
      <c r="V171" s="26"/>
      <c r="W171" s="26"/>
      <c r="X171" s="26"/>
      <c r="Y171" s="26"/>
      <c r="Z171" s="26"/>
      <c r="AA171" s="26"/>
      <c r="AB171" s="26"/>
      <c r="AC171" s="26"/>
      <c r="AD171" s="61"/>
      <c r="AE171" s="26"/>
      <c r="AF171" s="26"/>
      <c r="AG171" s="26"/>
      <c r="AH171" s="26"/>
      <c r="AI171" s="26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5"/>
      <c r="BJ171" s="5"/>
      <c r="BK171" s="5"/>
      <c r="BL171" s="5"/>
    </row>
    <row r="172" spans="1:6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9">
        <f>R147</f>
        <v>7.367499999999962</v>
      </c>
      <c r="S172" s="26">
        <f>S146</f>
        <v>0.0022085148078684583</v>
      </c>
      <c r="T172" s="26">
        <f>T146</f>
        <v>0.0022085148078684583</v>
      </c>
      <c r="U172" s="26"/>
      <c r="V172" s="26"/>
      <c r="W172" s="26"/>
      <c r="X172" s="26"/>
      <c r="Y172" s="26"/>
      <c r="Z172" s="26"/>
      <c r="AA172" s="26"/>
      <c r="AB172" s="26"/>
      <c r="AC172" s="26"/>
      <c r="AD172" s="61"/>
      <c r="AE172" s="26"/>
      <c r="AF172" s="26"/>
      <c r="AG172" s="26"/>
      <c r="AH172" s="26"/>
      <c r="AI172" s="27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5"/>
      <c r="BJ172" s="5"/>
      <c r="BK172" s="5"/>
      <c r="BL172" s="5"/>
    </row>
    <row r="173" spans="1:6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9">
        <f>R147</f>
        <v>7.368749999999962</v>
      </c>
      <c r="S173" s="26">
        <f>S146</f>
        <v>0.001752669354771039</v>
      </c>
      <c r="T173" s="26">
        <f>T146</f>
        <v>0.001752669354771039</v>
      </c>
      <c r="U173" s="26"/>
      <c r="V173" s="26"/>
      <c r="W173" s="26"/>
      <c r="X173" s="26"/>
      <c r="Y173" s="26"/>
      <c r="Z173" s="26"/>
      <c r="AA173" s="26"/>
      <c r="AB173" s="26"/>
      <c r="AC173" s="26"/>
      <c r="AD173" s="61"/>
      <c r="AE173" s="26"/>
      <c r="AF173" s="26"/>
      <c r="AG173" s="26"/>
      <c r="AH173" s="26"/>
      <c r="AI173" s="26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5"/>
      <c r="BJ173" s="5"/>
      <c r="BK173" s="5"/>
      <c r="BL173" s="5"/>
    </row>
    <row r="174" spans="1:6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9">
        <f>R147</f>
        <v>7.369999999999962</v>
      </c>
      <c r="S174" s="26">
        <f>S146</f>
        <v>0.00138610144184064</v>
      </c>
      <c r="T174" s="26">
        <f>T146</f>
        <v>0.00138610144184064</v>
      </c>
      <c r="U174" s="26"/>
      <c r="V174" s="26"/>
      <c r="W174" s="26"/>
      <c r="X174" s="26"/>
      <c r="Y174" s="26"/>
      <c r="Z174" s="26"/>
      <c r="AA174" s="26"/>
      <c r="AB174" s="26"/>
      <c r="AC174" s="26"/>
      <c r="AD174" s="61"/>
      <c r="AE174" s="26"/>
      <c r="AF174" s="26"/>
      <c r="AG174" s="26"/>
      <c r="AH174" s="26"/>
      <c r="AI174" s="26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5"/>
      <c r="BJ174" s="5"/>
      <c r="BK174" s="5"/>
      <c r="BL174" s="5"/>
    </row>
    <row r="175" spans="1:6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9">
        <f>R147</f>
        <v>7.371249999999962</v>
      </c>
      <c r="S175" s="26">
        <f>S146</f>
        <v>0.0010924139326069745</v>
      </c>
      <c r="T175" s="26">
        <f>T146</f>
        <v>0.0010924139326069745</v>
      </c>
      <c r="U175" s="26"/>
      <c r="V175" s="26"/>
      <c r="W175" s="26"/>
      <c r="X175" s="26"/>
      <c r="Y175" s="26"/>
      <c r="Z175" s="26"/>
      <c r="AA175" s="26"/>
      <c r="AB175" s="26"/>
      <c r="AC175" s="26"/>
      <c r="AD175" s="61"/>
      <c r="AE175" s="26"/>
      <c r="AF175" s="26"/>
      <c r="AG175" s="26"/>
      <c r="AH175" s="26"/>
      <c r="AI175" s="26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5"/>
      <c r="BJ175" s="5"/>
      <c r="BK175" s="5"/>
      <c r="BL175" s="5"/>
    </row>
    <row r="176" spans="1:6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9">
        <f>R147</f>
        <v>7.372499999999961</v>
      </c>
      <c r="S176" s="26">
        <f>S146</f>
        <v>0.0008579826674941336</v>
      </c>
      <c r="T176" s="26">
        <f>T146</f>
        <v>0.0008579826674941336</v>
      </c>
      <c r="U176" s="26"/>
      <c r="V176" s="26"/>
      <c r="W176" s="26"/>
      <c r="X176" s="26"/>
      <c r="Y176" s="26"/>
      <c r="Z176" s="26"/>
      <c r="AA176" s="26"/>
      <c r="AB176" s="26"/>
      <c r="AC176" s="26"/>
      <c r="AD176" s="61"/>
      <c r="AE176" s="26"/>
      <c r="AF176" s="26"/>
      <c r="AG176" s="26"/>
      <c r="AH176" s="26"/>
      <c r="AI176" s="26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5"/>
      <c r="BJ176" s="5"/>
      <c r="BK176" s="5"/>
      <c r="BL176" s="5"/>
    </row>
    <row r="177" spans="1:6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9">
        <f>R147</f>
        <v>7.373749999999961</v>
      </c>
      <c r="S177" s="26">
        <f>S146</f>
        <v>0.0006715382640098789</v>
      </c>
      <c r="T177" s="26">
        <f>T146</f>
        <v>0.0006715382640098789</v>
      </c>
      <c r="U177" s="26"/>
      <c r="V177" s="26"/>
      <c r="W177" s="26"/>
      <c r="X177" s="26"/>
      <c r="Y177" s="26"/>
      <c r="Z177" s="26"/>
      <c r="AA177" s="26"/>
      <c r="AB177" s="26"/>
      <c r="AC177" s="26"/>
      <c r="AD177" s="61"/>
      <c r="AE177" s="26"/>
      <c r="AF177" s="26"/>
      <c r="AG177" s="26"/>
      <c r="AH177" s="26"/>
      <c r="AI177" s="26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5"/>
      <c r="BJ177" s="5"/>
      <c r="BK177" s="5"/>
      <c r="BL177" s="5"/>
    </row>
    <row r="178" spans="1:6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9">
        <f>R147</f>
        <v>7.374999999999961</v>
      </c>
      <c r="S178" s="26">
        <f>S146</f>
        <v>0.0005238004751587842</v>
      </c>
      <c r="T178" s="26">
        <f>T146</f>
        <v>0.0005238004751587842</v>
      </c>
      <c r="U178" s="26"/>
      <c r="V178" s="26"/>
      <c r="W178" s="26"/>
      <c r="X178" s="26"/>
      <c r="Y178" s="26"/>
      <c r="Z178" s="26"/>
      <c r="AA178" s="26"/>
      <c r="AB178" s="26"/>
      <c r="AC178" s="26"/>
      <c r="AD178" s="61"/>
      <c r="AE178" s="26"/>
      <c r="AF178" s="26"/>
      <c r="AG178" s="26"/>
      <c r="AH178" s="26"/>
      <c r="AI178" s="26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5"/>
      <c r="BJ178" s="5"/>
      <c r="BK178" s="5"/>
      <c r="BL178" s="5"/>
    </row>
    <row r="179" spans="1:6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9">
        <f>R147</f>
        <v>7.376249999999961</v>
      </c>
      <c r="S179" s="26">
        <f>S146</f>
        <v>0.0004071606571588686</v>
      </c>
      <c r="T179" s="26">
        <f>T146</f>
        <v>0.0004071606571588686</v>
      </c>
      <c r="U179" s="26"/>
      <c r="V179" s="26"/>
      <c r="W179" s="26"/>
      <c r="X179" s="26"/>
      <c r="Y179" s="26"/>
      <c r="Z179" s="26"/>
      <c r="AA179" s="26"/>
      <c r="AB179" s="26"/>
      <c r="AC179" s="26"/>
      <c r="AD179" s="61"/>
      <c r="AE179" s="26"/>
      <c r="AF179" s="26"/>
      <c r="AG179" s="26"/>
      <c r="AH179" s="26"/>
      <c r="AI179" s="26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5"/>
      <c r="BJ179" s="5"/>
      <c r="BK179" s="5"/>
      <c r="BL179" s="5"/>
    </row>
    <row r="180" spans="1:6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9">
        <f>R147</f>
        <v>7.37749999999996</v>
      </c>
      <c r="S180" s="26">
        <f>S146</f>
        <v>0.0003154078093576346</v>
      </c>
      <c r="T180" s="26">
        <f>T146</f>
        <v>0.0003154078093576346</v>
      </c>
      <c r="U180" s="26"/>
      <c r="V180" s="26"/>
      <c r="W180" s="26"/>
      <c r="X180" s="26"/>
      <c r="Y180" s="26"/>
      <c r="Z180" s="26"/>
      <c r="AA180" s="26"/>
      <c r="AB180" s="26"/>
      <c r="AC180" s="26"/>
      <c r="AD180" s="61"/>
      <c r="AE180" s="26"/>
      <c r="AF180" s="26"/>
      <c r="AG180" s="26"/>
      <c r="AH180" s="26"/>
      <c r="AI180" s="26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5"/>
      <c r="BJ180" s="5"/>
      <c r="BK180" s="5"/>
      <c r="BL180" s="5"/>
    </row>
    <row r="181" spans="1:6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9">
        <f>R147</f>
        <v>7.37874999999996</v>
      </c>
      <c r="S181" s="26">
        <f>S146</f>
        <v>0.00024349369289659</v>
      </c>
      <c r="T181" s="26">
        <f>T146</f>
        <v>0.00024349369289659</v>
      </c>
      <c r="U181" s="26"/>
      <c r="V181" s="26"/>
      <c r="W181" s="26"/>
      <c r="X181" s="26"/>
      <c r="Y181" s="26"/>
      <c r="Z181" s="26"/>
      <c r="AA181" s="26"/>
      <c r="AB181" s="26"/>
      <c r="AC181" s="26"/>
      <c r="AD181" s="61"/>
      <c r="AE181" s="26"/>
      <c r="AF181" s="26"/>
      <c r="AG181" s="26"/>
      <c r="AH181" s="26"/>
      <c r="AI181" s="26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5"/>
      <c r="BJ181" s="5"/>
      <c r="BK181" s="5"/>
      <c r="BL181" s="5"/>
    </row>
    <row r="182" spans="1:6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9">
        <f>R147</f>
        <v>7.37999999999996</v>
      </c>
      <c r="S182" s="26">
        <f>S146</f>
        <v>0.00018733268043451162</v>
      </c>
      <c r="T182" s="26">
        <f>T146</f>
        <v>0.00018733268043451162</v>
      </c>
      <c r="U182" s="26"/>
      <c r="V182" s="26"/>
      <c r="W182" s="26"/>
      <c r="X182" s="26"/>
      <c r="Y182" s="26"/>
      <c r="Z182" s="26"/>
      <c r="AA182" s="26"/>
      <c r="AB182" s="26"/>
      <c r="AC182" s="26"/>
      <c r="AD182" s="61"/>
      <c r="AE182" s="26"/>
      <c r="AF182" s="26"/>
      <c r="AG182" s="26"/>
      <c r="AH182" s="26"/>
      <c r="AI182" s="26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5"/>
      <c r="BJ182" s="5"/>
      <c r="BK182" s="5"/>
      <c r="BL182" s="5"/>
    </row>
    <row r="183" spans="1:6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9">
        <f>R147</f>
        <v>7.38124999999996</v>
      </c>
      <c r="S183" s="26">
        <f>S146</f>
        <v>0.00014363221058930748</v>
      </c>
      <c r="T183" s="26">
        <f>T146</f>
        <v>0.00014363221058930748</v>
      </c>
      <c r="U183" s="26"/>
      <c r="V183" s="26"/>
      <c r="W183" s="26"/>
      <c r="X183" s="26"/>
      <c r="Y183" s="26"/>
      <c r="Z183" s="26"/>
      <c r="AA183" s="26"/>
      <c r="AB183" s="26"/>
      <c r="AC183" s="26"/>
      <c r="AD183" s="61"/>
      <c r="AE183" s="26"/>
      <c r="AF183" s="26"/>
      <c r="AG183" s="26"/>
      <c r="AH183" s="26"/>
      <c r="AI183" s="26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5"/>
      <c r="BJ183" s="5"/>
      <c r="BK183" s="5"/>
      <c r="BL183" s="5"/>
    </row>
    <row r="184" spans="1:6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9">
        <f>R147</f>
        <v>7.382499999999959</v>
      </c>
      <c r="S184" s="26">
        <f>S146</f>
        <v>0.00010974999463612045</v>
      </c>
      <c r="T184" s="26">
        <f>T146</f>
        <v>0.00010974999463612045</v>
      </c>
      <c r="U184" s="26"/>
      <c r="V184" s="26"/>
      <c r="W184" s="26"/>
      <c r="X184" s="26"/>
      <c r="Y184" s="26"/>
      <c r="Z184" s="26"/>
      <c r="AA184" s="26"/>
      <c r="AB184" s="26"/>
      <c r="AC184" s="26"/>
      <c r="AD184" s="61"/>
      <c r="AE184" s="26"/>
      <c r="AF184" s="26"/>
      <c r="AG184" s="26"/>
      <c r="AH184" s="26"/>
      <c r="AI184" s="26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5"/>
      <c r="BJ184" s="5"/>
      <c r="BK184" s="5"/>
      <c r="BL184" s="5"/>
    </row>
    <row r="185" spans="1:6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9">
        <f>R147</f>
        <v>7.383749999999959</v>
      </c>
      <c r="S185" s="26">
        <f>S146</f>
        <v>0.0000835744298550708</v>
      </c>
      <c r="T185" s="26">
        <f>T146</f>
        <v>0.0000835744298550708</v>
      </c>
      <c r="U185" s="26"/>
      <c r="V185" s="26"/>
      <c r="W185" s="26"/>
      <c r="X185" s="26"/>
      <c r="Y185" s="26"/>
      <c r="Z185" s="26"/>
      <c r="AA185" s="26"/>
      <c r="AB185" s="26"/>
      <c r="AC185" s="26"/>
      <c r="AD185" s="61"/>
      <c r="AE185" s="26"/>
      <c r="AF185" s="26"/>
      <c r="AG185" s="26"/>
      <c r="AH185" s="26"/>
      <c r="AI185" s="26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5"/>
      <c r="BJ185" s="5"/>
      <c r="BK185" s="5"/>
      <c r="BL185" s="5"/>
    </row>
    <row r="186" spans="1:6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9">
        <f>R147</f>
        <v>7.384999999999959</v>
      </c>
      <c r="S186" s="26">
        <f>S146</f>
        <v>0.00006342499761361487</v>
      </c>
      <c r="T186" s="26">
        <f>T146</f>
        <v>0.00006342499761361487</v>
      </c>
      <c r="U186" s="26"/>
      <c r="V186" s="26"/>
      <c r="W186" s="26"/>
      <c r="X186" s="26"/>
      <c r="Y186" s="26"/>
      <c r="Z186" s="26"/>
      <c r="AA186" s="26"/>
      <c r="AB186" s="26"/>
      <c r="AC186" s="26"/>
      <c r="AD186" s="61"/>
      <c r="AE186" s="26"/>
      <c r="AF186" s="26"/>
      <c r="AG186" s="26"/>
      <c r="AH186" s="26"/>
      <c r="AI186" s="26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5"/>
      <c r="BJ186" s="5"/>
      <c r="BK186" s="5"/>
      <c r="BL186" s="5"/>
    </row>
    <row r="187" spans="1:6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9">
        <f>R147</f>
        <v>7.386249999999959</v>
      </c>
      <c r="S187" s="26">
        <f>S146</f>
        <v>0.00004796975184729771</v>
      </c>
      <c r="T187" s="26">
        <f>T146</f>
        <v>0.00004796975184729771</v>
      </c>
      <c r="U187" s="26"/>
      <c r="V187" s="26"/>
      <c r="W187" s="26"/>
      <c r="X187" s="26"/>
      <c r="Y187" s="26"/>
      <c r="Z187" s="26"/>
      <c r="AA187" s="26"/>
      <c r="AB187" s="26"/>
      <c r="AC187" s="26"/>
      <c r="AD187" s="61"/>
      <c r="AE187" s="26"/>
      <c r="AF187" s="26"/>
      <c r="AG187" s="26"/>
      <c r="AH187" s="26"/>
      <c r="AI187" s="26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5"/>
      <c r="BJ187" s="5"/>
      <c r="BK187" s="5"/>
      <c r="BL187" s="5"/>
    </row>
    <row r="188" spans="1:6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9">
        <f>R147</f>
        <v>7.387499999999958</v>
      </c>
      <c r="S188" s="26">
        <f>S146</f>
        <v>0.00003615732502373445</v>
      </c>
      <c r="T188" s="26">
        <f>T146</f>
        <v>0.00003615732502373445</v>
      </c>
      <c r="U188" s="26"/>
      <c r="V188" s="26"/>
      <c r="W188" s="26"/>
      <c r="X188" s="26"/>
      <c r="Y188" s="26"/>
      <c r="Z188" s="26"/>
      <c r="AA188" s="26"/>
      <c r="AB188" s="26"/>
      <c r="AC188" s="26"/>
      <c r="AD188" s="61"/>
      <c r="AE188" s="26"/>
      <c r="AF188" s="26"/>
      <c r="AG188" s="26"/>
      <c r="AH188" s="26"/>
      <c r="AI188" s="26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5"/>
      <c r="BJ188" s="5"/>
      <c r="BK188" s="5"/>
      <c r="BL188" s="5"/>
    </row>
    <row r="189" spans="1:6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9">
        <f>R147</f>
        <v>7.388749999999958</v>
      </c>
      <c r="S189" s="26">
        <f>S146</f>
        <v>0.000027161186461793888</v>
      </c>
      <c r="T189" s="26">
        <f>T146</f>
        <v>0.000027161186461793888</v>
      </c>
      <c r="U189" s="26"/>
      <c r="V189" s="26"/>
      <c r="W189" s="26"/>
      <c r="X189" s="26"/>
      <c r="Y189" s="26"/>
      <c r="Z189" s="26"/>
      <c r="AA189" s="26"/>
      <c r="AB189" s="26"/>
      <c r="AC189" s="26"/>
      <c r="AD189" s="61"/>
      <c r="AE189" s="26"/>
      <c r="AF189" s="26"/>
      <c r="AG189" s="26"/>
      <c r="AH189" s="26"/>
      <c r="AI189" s="26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5"/>
      <c r="BJ189" s="5"/>
      <c r="BK189" s="5"/>
      <c r="BL189" s="5"/>
    </row>
    <row r="190" spans="1:6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9">
        <f>R147</f>
        <v>7.389999999999958</v>
      </c>
      <c r="S190" s="26">
        <f>S146</f>
        <v>0.00002033417676993804</v>
      </c>
      <c r="T190" s="26">
        <f>T146</f>
        <v>0.00002033417676993804</v>
      </c>
      <c r="U190" s="26"/>
      <c r="V190" s="26"/>
      <c r="W190" s="26"/>
      <c r="X190" s="26"/>
      <c r="Y190" s="26"/>
      <c r="Z190" s="26"/>
      <c r="AA190" s="26"/>
      <c r="AB190" s="26"/>
      <c r="AC190" s="26"/>
      <c r="AD190" s="61"/>
      <c r="AE190" s="26"/>
      <c r="AF190" s="26"/>
      <c r="AG190" s="26"/>
      <c r="AH190" s="26"/>
      <c r="AI190" s="26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5"/>
      <c r="BJ190" s="5"/>
      <c r="BK190" s="5"/>
      <c r="BL190" s="5"/>
    </row>
    <row r="191" spans="1:6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9">
        <f>R147</f>
        <v>7.391249999999958</v>
      </c>
      <c r="S191" s="26">
        <f>S146</f>
        <v>0.000015171608764521444</v>
      </c>
      <c r="T191" s="26">
        <f>T146</f>
        <v>0.000015171608764521444</v>
      </c>
      <c r="U191" s="26"/>
      <c r="V191" s="26"/>
      <c r="W191" s="26"/>
      <c r="X191" s="26"/>
      <c r="Y191" s="26"/>
      <c r="Z191" s="26"/>
      <c r="AA191" s="26"/>
      <c r="AB191" s="26"/>
      <c r="AC191" s="26"/>
      <c r="AD191" s="61"/>
      <c r="AE191" s="26"/>
      <c r="AF191" s="26"/>
      <c r="AG191" s="26"/>
      <c r="AH191" s="26"/>
      <c r="AI191" s="26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5"/>
      <c r="BJ191" s="5"/>
      <c r="BK191" s="5"/>
      <c r="BL191" s="5"/>
    </row>
    <row r="192" spans="1:6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9">
        <f>R147</f>
        <v>7.392499999999957</v>
      </c>
      <c r="S192" s="26">
        <f>S146</f>
        <v>0.000011281467653890392</v>
      </c>
      <c r="T192" s="26">
        <f>T146</f>
        <v>0.000011281467653890392</v>
      </c>
      <c r="U192" s="26"/>
      <c r="V192" s="26"/>
      <c r="W192" s="26"/>
      <c r="X192" s="26"/>
      <c r="Y192" s="26"/>
      <c r="Z192" s="26"/>
      <c r="AA192" s="26"/>
      <c r="AB192" s="26"/>
      <c r="AC192" s="26"/>
      <c r="AD192" s="61"/>
      <c r="AE192" s="26"/>
      <c r="AF192" s="26"/>
      <c r="AG192" s="26"/>
      <c r="AH192" s="26"/>
      <c r="AI192" s="26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5"/>
      <c r="BJ192" s="5"/>
      <c r="BK192" s="5"/>
      <c r="BL192" s="5"/>
    </row>
    <row r="193" spans="1:6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9">
        <f>R147</f>
        <v>7.393749999999957</v>
      </c>
      <c r="S193" s="26">
        <f>S146</f>
        <v>0.000008360460861570341</v>
      </c>
      <c r="T193" s="26">
        <f>T146</f>
        <v>0.000008360460861570341</v>
      </c>
      <c r="U193" s="26"/>
      <c r="V193" s="26"/>
      <c r="W193" s="26"/>
      <c r="X193" s="26"/>
      <c r="Y193" s="26"/>
      <c r="Z193" s="26"/>
      <c r="AA193" s="26"/>
      <c r="AB193" s="26"/>
      <c r="AC193" s="26"/>
      <c r="AD193" s="61"/>
      <c r="AE193" s="26"/>
      <c r="AF193" s="26"/>
      <c r="AG193" s="26"/>
      <c r="AH193" s="26"/>
      <c r="AI193" s="26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5"/>
      <c r="BJ193" s="5"/>
      <c r="BK193" s="5"/>
      <c r="BL193" s="5"/>
    </row>
    <row r="194" spans="1:6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9">
        <f>R147</f>
        <v>7.394999999999957</v>
      </c>
      <c r="S194" s="26">
        <f>S146</f>
        <v>0.000006174860876851713</v>
      </c>
      <c r="T194" s="26">
        <f>T146</f>
        <v>0.000006174860876851713</v>
      </c>
      <c r="U194" s="26"/>
      <c r="V194" s="26"/>
      <c r="W194" s="26"/>
      <c r="X194" s="26"/>
      <c r="Y194" s="26"/>
      <c r="Z194" s="26"/>
      <c r="AA194" s="26"/>
      <c r="AB194" s="26"/>
      <c r="AC194" s="26"/>
      <c r="AD194" s="61"/>
      <c r="AE194" s="26"/>
      <c r="AF194" s="26"/>
      <c r="AG194" s="26"/>
      <c r="AH194" s="26"/>
      <c r="AI194" s="26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5"/>
      <c r="BJ194" s="5"/>
      <c r="BK194" s="5"/>
      <c r="BL194" s="5"/>
    </row>
    <row r="195" spans="1:6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9">
        <f>R147</f>
        <v>7.396249999999957</v>
      </c>
      <c r="S195" s="26">
        <f>S146</f>
        <v>0.000004545253915491164</v>
      </c>
      <c r="T195" s="26">
        <f>T146</f>
        <v>0.000004545253915491164</v>
      </c>
      <c r="U195" s="26"/>
      <c r="V195" s="26"/>
      <c r="W195" s="26"/>
      <c r="X195" s="26"/>
      <c r="Y195" s="26"/>
      <c r="Z195" s="26"/>
      <c r="AA195" s="26"/>
      <c r="AB195" s="26"/>
      <c r="AC195" s="26"/>
      <c r="AD195" s="61"/>
      <c r="AE195" s="26"/>
      <c r="AF195" s="26"/>
      <c r="AG195" s="26"/>
      <c r="AH195" s="26"/>
      <c r="AI195" s="26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5"/>
      <c r="BJ195" s="5"/>
      <c r="BK195" s="5"/>
      <c r="BL195" s="5"/>
    </row>
    <row r="196" spans="1:6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9">
        <f>R147</f>
        <v>7.397499999999956</v>
      </c>
      <c r="S196" s="26">
        <f>S146</f>
        <v>0.0000033344543778685908</v>
      </c>
      <c r="T196" s="26">
        <f>T146</f>
        <v>0.0000033344543778685908</v>
      </c>
      <c r="U196" s="26"/>
      <c r="V196" s="26"/>
      <c r="W196" s="26"/>
      <c r="X196" s="26"/>
      <c r="Y196" s="26"/>
      <c r="Z196" s="26"/>
      <c r="AA196" s="26"/>
      <c r="AB196" s="26"/>
      <c r="AC196" s="26"/>
      <c r="AD196" s="61"/>
      <c r="AE196" s="26"/>
      <c r="AF196" s="26"/>
      <c r="AG196" s="26"/>
      <c r="AH196" s="26"/>
      <c r="AI196" s="26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5"/>
      <c r="BJ196" s="5"/>
      <c r="BK196" s="5"/>
      <c r="BL196" s="5"/>
    </row>
    <row r="197" spans="1:6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9">
        <f>R147</f>
        <v>7.398749999999956</v>
      </c>
      <c r="S197" s="26">
        <f>S146</f>
        <v>0.000002437971844660869</v>
      </c>
      <c r="T197" s="26">
        <f>T146</f>
        <v>0.000002437971844660869</v>
      </c>
      <c r="U197" s="26"/>
      <c r="V197" s="26"/>
      <c r="W197" s="26"/>
      <c r="X197" s="26"/>
      <c r="Y197" s="26"/>
      <c r="Z197" s="26"/>
      <c r="AA197" s="26"/>
      <c r="AB197" s="26"/>
      <c r="AC197" s="26"/>
      <c r="AD197" s="61"/>
      <c r="AE197" s="26"/>
      <c r="AF197" s="26"/>
      <c r="AG197" s="26"/>
      <c r="AH197" s="26"/>
      <c r="AI197" s="26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5"/>
      <c r="BJ197" s="5"/>
      <c r="BK197" s="5"/>
      <c r="BL197" s="5"/>
    </row>
    <row r="198" spans="1:6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9">
        <f>R147</f>
        <v>7.399999999999956</v>
      </c>
      <c r="S198" s="26">
        <f>S146</f>
        <v>0.000001776525557226527</v>
      </c>
      <c r="T198" s="26">
        <f>T146</f>
        <v>0.000001776525557226527</v>
      </c>
      <c r="U198" s="26"/>
      <c r="V198" s="26"/>
      <c r="W198" s="26"/>
      <c r="X198" s="26"/>
      <c r="Y198" s="26"/>
      <c r="Z198" s="26"/>
      <c r="AA198" s="26"/>
      <c r="AB198" s="26"/>
      <c r="AC198" s="26"/>
      <c r="AD198" s="61"/>
      <c r="AE198" s="26"/>
      <c r="AF198" s="26"/>
      <c r="AG198" s="26"/>
      <c r="AH198" s="26"/>
      <c r="AI198" s="26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5"/>
      <c r="BJ198" s="5"/>
      <c r="BK198" s="5"/>
      <c r="BL198" s="5"/>
    </row>
    <row r="199" spans="1:6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9">
        <f>R147</f>
        <v>7.401249999999956</v>
      </c>
      <c r="S199" s="26">
        <f>S146</f>
        <v>0.0000012901929578183282</v>
      </c>
      <c r="T199" s="26">
        <f>T146</f>
        <v>0.0000012901929578183282</v>
      </c>
      <c r="U199" s="26"/>
      <c r="V199" s="26"/>
      <c r="W199" s="26"/>
      <c r="X199" s="26"/>
      <c r="Y199" s="26"/>
      <c r="Z199" s="26"/>
      <c r="AA199" s="26"/>
      <c r="AB199" s="26"/>
      <c r="AC199" s="26"/>
      <c r="AD199" s="61"/>
      <c r="AE199" s="26"/>
      <c r="AF199" s="26"/>
      <c r="AG199" s="26"/>
      <c r="AH199" s="26"/>
      <c r="AI199" s="26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5"/>
      <c r="BJ199" s="5"/>
      <c r="BK199" s="5"/>
      <c r="BL199" s="5"/>
    </row>
    <row r="200" spans="1:6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9">
        <f>R147</f>
        <v>7.4024999999999554</v>
      </c>
      <c r="S200" s="26">
        <f>S146</f>
        <v>9.338558580168898e-7</v>
      </c>
      <c r="T200" s="26">
        <f>T146</f>
        <v>9.338558580168898e-7</v>
      </c>
      <c r="U200" s="26"/>
      <c r="V200" s="26"/>
      <c r="W200" s="26"/>
      <c r="X200" s="26"/>
      <c r="Y200" s="26"/>
      <c r="Z200" s="26"/>
      <c r="AA200" s="26"/>
      <c r="AB200" s="26"/>
      <c r="AC200" s="26"/>
      <c r="AD200" s="61"/>
      <c r="AE200" s="26"/>
      <c r="AF200" s="26"/>
      <c r="AG200" s="26"/>
      <c r="AH200" s="26"/>
      <c r="AI200" s="26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5"/>
      <c r="BJ200" s="5"/>
      <c r="BK200" s="5"/>
      <c r="BL200" s="5"/>
    </row>
    <row r="201" spans="1:6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9">
        <f>R147</f>
        <v>7.403749999999955</v>
      </c>
      <c r="S201" s="26">
        <f>S146</f>
        <v>6.73672026061235e-7</v>
      </c>
      <c r="T201" s="26">
        <f>T146</f>
        <v>6.73672026061235e-7</v>
      </c>
      <c r="U201" s="26"/>
      <c r="V201" s="26"/>
      <c r="W201" s="26"/>
      <c r="X201" s="26"/>
      <c r="Y201" s="26"/>
      <c r="Z201" s="26"/>
      <c r="AA201" s="26"/>
      <c r="AB201" s="26"/>
      <c r="AC201" s="26"/>
      <c r="AD201" s="61"/>
      <c r="AE201" s="26"/>
      <c r="AF201" s="26"/>
      <c r="AG201" s="26"/>
      <c r="AH201" s="26"/>
      <c r="AI201" s="26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5"/>
      <c r="BJ201" s="5"/>
      <c r="BK201" s="5"/>
      <c r="BL201" s="5"/>
    </row>
    <row r="202" spans="1:6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9">
        <f>R147</f>
        <v>7.404999999999955</v>
      </c>
      <c r="S202" s="26">
        <f>S146</f>
        <v>4.843531775926779e-7</v>
      </c>
      <c r="T202" s="26">
        <f>T146</f>
        <v>4.843531775926779e-7</v>
      </c>
      <c r="U202" s="26"/>
      <c r="V202" s="26"/>
      <c r="W202" s="26"/>
      <c r="X202" s="26"/>
      <c r="Y202" s="26"/>
      <c r="Z202" s="26"/>
      <c r="AA202" s="26"/>
      <c r="AB202" s="26"/>
      <c r="AC202" s="26"/>
      <c r="AD202" s="61"/>
      <c r="AE202" s="26"/>
      <c r="AF202" s="26"/>
      <c r="AG202" s="26"/>
      <c r="AH202" s="26"/>
      <c r="AI202" s="26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5"/>
      <c r="BJ202" s="5"/>
      <c r="BK202" s="5"/>
      <c r="BL202" s="5"/>
    </row>
    <row r="203" spans="1:6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9">
        <f>R147</f>
        <v>7.406249999999955</v>
      </c>
      <c r="S203" s="26">
        <f>S146</f>
        <v>3.4707411638254337e-7</v>
      </c>
      <c r="T203" s="26">
        <f>T146</f>
        <v>3.4707411638254337e-7</v>
      </c>
      <c r="U203" s="26"/>
      <c r="V203" s="26"/>
      <c r="W203" s="26"/>
      <c r="X203" s="26"/>
      <c r="Y203" s="26"/>
      <c r="Z203" s="26"/>
      <c r="AA203" s="26"/>
      <c r="AB203" s="26"/>
      <c r="AC203" s="26"/>
      <c r="AD203" s="61"/>
      <c r="AE203" s="26"/>
      <c r="AF203" s="26"/>
      <c r="AG203" s="26"/>
      <c r="AH203" s="26"/>
      <c r="AI203" s="26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5"/>
      <c r="BJ203" s="5"/>
      <c r="BK203" s="5"/>
      <c r="BL203" s="5"/>
    </row>
    <row r="204" spans="1:6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9">
        <f>R147</f>
        <v>7.4074999999999545</v>
      </c>
      <c r="S204" s="26">
        <f>S146</f>
        <v>2.478735399716354e-7</v>
      </c>
      <c r="T204" s="26">
        <f>T146</f>
        <v>2.478735399716354e-7</v>
      </c>
      <c r="U204" s="26"/>
      <c r="V204" s="26"/>
      <c r="W204" s="26"/>
      <c r="X204" s="26"/>
      <c r="Y204" s="26"/>
      <c r="Z204" s="26"/>
      <c r="AA204" s="26"/>
      <c r="AB204" s="26"/>
      <c r="AC204" s="26"/>
      <c r="AD204" s="61"/>
      <c r="AE204" s="26"/>
      <c r="AF204" s="26"/>
      <c r="AG204" s="26"/>
      <c r="AH204" s="26"/>
      <c r="AI204" s="26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5"/>
      <c r="BJ204" s="5"/>
      <c r="BK204" s="5"/>
      <c r="BL204" s="5"/>
    </row>
    <row r="205" spans="1:6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9">
        <f>R147</f>
        <v>7.408749999999954</v>
      </c>
      <c r="S205" s="26">
        <f>S146</f>
        <v>1.7643607592873487e-7</v>
      </c>
      <c r="T205" s="26">
        <f>T146</f>
        <v>1.7643607592873487e-7</v>
      </c>
      <c r="U205" s="26"/>
      <c r="V205" s="26"/>
      <c r="W205" s="26"/>
      <c r="X205" s="26"/>
      <c r="Y205" s="26"/>
      <c r="Z205" s="26"/>
      <c r="AA205" s="26"/>
      <c r="AB205" s="26"/>
      <c r="AC205" s="26"/>
      <c r="AD205" s="61"/>
      <c r="AE205" s="26"/>
      <c r="AF205" s="26"/>
      <c r="AG205" s="26"/>
      <c r="AH205" s="26"/>
      <c r="AI205" s="26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5"/>
      <c r="BJ205" s="5"/>
      <c r="BK205" s="5"/>
      <c r="BL205" s="5"/>
    </row>
    <row r="206" spans="1:6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9">
        <f>R147</f>
        <v>7.409999999999954</v>
      </c>
      <c r="S206" s="26">
        <f>S146</f>
        <v>1.251685651871371e-7</v>
      </c>
      <c r="T206" s="26">
        <f>T146</f>
        <v>1.251685651871371e-7</v>
      </c>
      <c r="U206" s="26"/>
      <c r="V206" s="26"/>
      <c r="W206" s="26"/>
      <c r="X206" s="26"/>
      <c r="Y206" s="26"/>
      <c r="Z206" s="26"/>
      <c r="AA206" s="26"/>
      <c r="AB206" s="26"/>
      <c r="AC206" s="26"/>
      <c r="AD206" s="61"/>
      <c r="AE206" s="26"/>
      <c r="AF206" s="26"/>
      <c r="AG206" s="26"/>
      <c r="AH206" s="26"/>
      <c r="AI206" s="26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5"/>
      <c r="BJ206" s="5"/>
      <c r="BK206" s="5"/>
      <c r="BL206" s="5"/>
    </row>
    <row r="207" spans="1:6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9">
        <f>R147</f>
        <v>7.411249999999954</v>
      </c>
      <c r="S207" s="26">
        <f>S146</f>
        <v>8.850242677676359e-8</v>
      </c>
      <c r="T207" s="26">
        <f>T146</f>
        <v>8.850242677676359e-8</v>
      </c>
      <c r="U207" s="26"/>
      <c r="V207" s="26"/>
      <c r="W207" s="26"/>
      <c r="X207" s="26"/>
      <c r="Y207" s="26"/>
      <c r="Z207" s="26"/>
      <c r="AA207" s="26"/>
      <c r="AB207" s="26"/>
      <c r="AC207" s="26"/>
      <c r="AD207" s="61"/>
      <c r="AE207" s="26"/>
      <c r="AF207" s="26"/>
      <c r="AG207" s="26"/>
      <c r="AH207" s="26"/>
      <c r="AI207" s="26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5"/>
      <c r="BJ207" s="5"/>
      <c r="BK207" s="5"/>
      <c r="BL207" s="5"/>
    </row>
    <row r="208" spans="1:6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9">
        <f>R147</f>
        <v>7.4124999999999535</v>
      </c>
      <c r="S208" s="26">
        <f>S146</f>
        <v>6.236895118731477e-8</v>
      </c>
      <c r="T208" s="26">
        <f>T146</f>
        <v>6.236895118731477e-8</v>
      </c>
      <c r="U208" s="26"/>
      <c r="V208" s="26"/>
      <c r="W208" s="26"/>
      <c r="X208" s="26"/>
      <c r="Y208" s="26"/>
      <c r="Z208" s="26"/>
      <c r="AA208" s="26"/>
      <c r="AB208" s="26"/>
      <c r="AC208" s="26"/>
      <c r="AD208" s="61"/>
      <c r="AE208" s="26"/>
      <c r="AF208" s="26"/>
      <c r="AG208" s="26"/>
      <c r="AH208" s="26"/>
      <c r="AI208" s="26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5"/>
      <c r="BJ208" s="5"/>
      <c r="BK208" s="5"/>
      <c r="BL208" s="5"/>
    </row>
    <row r="209" spans="1:6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9">
        <f>R147</f>
        <v>7.413749999999953</v>
      </c>
      <c r="S209" s="26">
        <f>S146</f>
        <v>4.380627933737253e-8</v>
      </c>
      <c r="T209" s="26">
        <f>T146</f>
        <v>4.380627933737253e-8</v>
      </c>
      <c r="U209" s="26"/>
      <c r="V209" s="26"/>
      <c r="W209" s="26"/>
      <c r="X209" s="26"/>
      <c r="Y209" s="26"/>
      <c r="Z209" s="26"/>
      <c r="AA209" s="26"/>
      <c r="AB209" s="26"/>
      <c r="AC209" s="26"/>
      <c r="AD209" s="61"/>
      <c r="AE209" s="26"/>
      <c r="AF209" s="26"/>
      <c r="AG209" s="26"/>
      <c r="AH209" s="26"/>
      <c r="AI209" s="26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5"/>
      <c r="BJ209" s="5"/>
      <c r="BK209" s="5"/>
      <c r="BL209" s="5"/>
    </row>
    <row r="210" spans="1:6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9">
        <f>R147</f>
        <v>7.414999999999953</v>
      </c>
      <c r="S210" s="26">
        <f t="shared" ref="S210:S217" si="22">IF(T210&lt;0," ",T210)</f>
        <v>3.066621999355924e-8</v>
      </c>
      <c r="T210" s="26">
        <f t="shared" ref="T210:T217" si="23">(0.39894228/$F$34)*EXP(-((R210-$F$33)^2)/(2*$F$34^2))*(1-0.5*$M$37*((R210-$F$33)/$F$34-(R210-$F$33)^3/(3*$F$34^3)))</f>
        <v>3.066621999355924e-8</v>
      </c>
      <c r="U210" s="26"/>
      <c r="V210" s="26"/>
      <c r="W210" s="26"/>
      <c r="X210" s="26"/>
      <c r="Y210" s="26"/>
      <c r="Z210" s="26"/>
      <c r="AA210" s="26"/>
      <c r="AB210" s="26"/>
      <c r="AC210" s="26"/>
      <c r="AD210" s="61"/>
      <c r="AE210" s="26"/>
      <c r="AF210" s="26"/>
      <c r="AG210" s="26"/>
      <c r="AH210" s="26"/>
      <c r="AI210" s="26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5"/>
      <c r="BJ210" s="5"/>
      <c r="BK210" s="5"/>
      <c r="BL210" s="5"/>
    </row>
    <row r="211" spans="1:6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9">
        <f t="shared" ref="R211:R217" si="24">R210+$R$17</f>
        <v>7.416249999999953</v>
      </c>
      <c r="S211" s="26">
        <f>S210</f>
        <v>2.1396431068280603e-8</v>
      </c>
      <c r="T211" s="26">
        <f>T210</f>
        <v>2.1396431068280603e-8</v>
      </c>
      <c r="U211" s="26"/>
      <c r="V211" s="26"/>
      <c r="W211" s="26"/>
      <c r="X211" s="26"/>
      <c r="Y211" s="26"/>
      <c r="Z211" s="26"/>
      <c r="AA211" s="26"/>
      <c r="AB211" s="26"/>
      <c r="AC211" s="26"/>
      <c r="AD211" s="61"/>
      <c r="AE211" s="26"/>
      <c r="AF211" s="27"/>
      <c r="AG211" s="26"/>
      <c r="AH211" s="26"/>
      <c r="AI211" s="26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5"/>
      <c r="BJ211" s="5"/>
      <c r="BK211" s="5"/>
      <c r="BL211" s="5"/>
    </row>
    <row r="212" spans="1:6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9">
        <f>R211</f>
        <v>7.4174999999999525</v>
      </c>
      <c r="S212" s="26">
        <f>S210</f>
        <v>1.4879244583888455e-8</v>
      </c>
      <c r="T212" s="26">
        <f>T210</f>
        <v>1.4879244583888455e-8</v>
      </c>
      <c r="U212" s="26"/>
      <c r="V212" s="26"/>
      <c r="W212" s="26"/>
      <c r="X212" s="26"/>
      <c r="Y212" s="26"/>
      <c r="Z212" s="26"/>
      <c r="AA212" s="26"/>
      <c r="AB212" s="26"/>
      <c r="AC212" s="26"/>
      <c r="AD212" s="61"/>
      <c r="AE212" s="26"/>
      <c r="AF212" s="27"/>
      <c r="AG212" s="26"/>
      <c r="AH212" s="26"/>
      <c r="AI212" s="26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5"/>
      <c r="BJ212" s="5"/>
      <c r="BK212" s="5"/>
      <c r="BL212" s="5"/>
    </row>
    <row r="213" spans="1:6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9">
        <f>R211</f>
        <v>7.418749999999952</v>
      </c>
      <c r="S213" s="26">
        <f>S210</f>
        <v>1.031288307154947e-8</v>
      </c>
      <c r="T213" s="26">
        <f>T210</f>
        <v>1.031288307154947e-8</v>
      </c>
      <c r="U213" s="26"/>
      <c r="V213" s="26"/>
      <c r="W213" s="26"/>
      <c r="X213" s="26"/>
      <c r="Y213" s="26"/>
      <c r="Z213" s="26"/>
      <c r="AA213" s="26"/>
      <c r="AB213" s="26"/>
      <c r="AC213" s="26"/>
      <c r="AD213" s="61"/>
      <c r="AE213" s="26"/>
      <c r="AF213" s="27"/>
      <c r="AG213" s="26"/>
      <c r="AH213" s="26"/>
      <c r="AI213" s="26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5"/>
      <c r="BJ213" s="5"/>
      <c r="BK213" s="5"/>
      <c r="BL213" s="5"/>
    </row>
    <row r="214" spans="1:6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9">
        <f>R211</f>
        <v>7.419999999999952</v>
      </c>
      <c r="S214" s="26">
        <f>S210</f>
        <v>7.1242666259906844e-9</v>
      </c>
      <c r="T214" s="26">
        <f>T210</f>
        <v>7.1242666259906844e-9</v>
      </c>
      <c r="U214" s="26"/>
      <c r="V214" s="26"/>
      <c r="W214" s="26"/>
      <c r="X214" s="26"/>
      <c r="Y214" s="26"/>
      <c r="Z214" s="26"/>
      <c r="AA214" s="26"/>
      <c r="AB214" s="26"/>
      <c r="AC214" s="26"/>
      <c r="AD214" s="61"/>
      <c r="AE214" s="26"/>
      <c r="AF214" s="27"/>
      <c r="AG214" s="26"/>
      <c r="AH214" s="26"/>
      <c r="AI214" s="26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5"/>
      <c r="BJ214" s="5"/>
      <c r="BK214" s="5"/>
      <c r="BL214" s="5"/>
    </row>
    <row r="215" spans="1:6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9">
        <f>R211</f>
        <v>7.421249999999952</v>
      </c>
      <c r="S215" s="26">
        <f>S210</f>
        <v>4.9052626429919506e-9</v>
      </c>
      <c r="T215" s="26">
        <f>T210</f>
        <v>4.9052626429919506e-9</v>
      </c>
      <c r="U215" s="26"/>
      <c r="V215" s="26"/>
      <c r="W215" s="26"/>
      <c r="X215" s="26"/>
      <c r="Y215" s="26"/>
      <c r="Z215" s="26"/>
      <c r="AA215" s="26"/>
      <c r="AB215" s="26"/>
      <c r="AC215" s="26"/>
      <c r="AD215" s="61"/>
      <c r="AE215" s="26"/>
      <c r="AF215" s="27"/>
      <c r="AG215" s="26"/>
      <c r="AH215" s="26"/>
      <c r="AI215" s="26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5"/>
      <c r="BJ215" s="5"/>
      <c r="BK215" s="5"/>
      <c r="BL215" s="5"/>
    </row>
    <row r="216" spans="1:6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9">
        <f>R211</f>
        <v>7.4224999999999515</v>
      </c>
      <c r="S216" s="26">
        <f>S210</f>
        <v>3.3662591425040984e-9</v>
      </c>
      <c r="T216" s="26">
        <f>T210</f>
        <v>3.3662591425040984e-9</v>
      </c>
      <c r="U216" s="26"/>
      <c r="V216" s="26"/>
      <c r="W216" s="26"/>
      <c r="X216" s="26"/>
      <c r="Y216" s="26"/>
      <c r="Z216" s="26"/>
      <c r="AA216" s="26"/>
      <c r="AB216" s="26"/>
      <c r="AC216" s="26"/>
      <c r="AD216" s="61"/>
      <c r="AE216" s="26"/>
      <c r="AF216" s="27"/>
      <c r="AG216" s="26"/>
      <c r="AH216" s="26"/>
      <c r="AI216" s="26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5"/>
      <c r="BJ216" s="5"/>
      <c r="BK216" s="5"/>
      <c r="BL216" s="5"/>
    </row>
    <row r="217" spans="1:6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9">
        <f>R211</f>
        <v>7.423749999999951</v>
      </c>
      <c r="S217" s="26">
        <f>S210</f>
        <v>2.3024867092177684e-9</v>
      </c>
      <c r="T217" s="26">
        <f>T210</f>
        <v>2.3024867092177684e-9</v>
      </c>
      <c r="U217" s="26"/>
      <c r="V217" s="26"/>
      <c r="W217" s="26"/>
      <c r="X217" s="26"/>
      <c r="Y217" s="26"/>
      <c r="Z217" s="26"/>
      <c r="AA217" s="26"/>
      <c r="AB217" s="26"/>
      <c r="AC217" s="26"/>
      <c r="AD217" s="61"/>
      <c r="AE217" s="26"/>
      <c r="AF217" s="27"/>
      <c r="AG217" s="26"/>
      <c r="AH217" s="26"/>
      <c r="AI217" s="26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5"/>
      <c r="BJ217" s="5"/>
      <c r="BK217" s="5"/>
      <c r="BL217" s="5"/>
    </row>
    <row r="218" spans="1:6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9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61"/>
      <c r="AE218" s="26"/>
      <c r="AF218" s="27"/>
      <c r="AG218" s="26"/>
      <c r="AH218" s="26"/>
      <c r="AI218" s="26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5"/>
      <c r="BJ218" s="5"/>
      <c r="BK218" s="5"/>
      <c r="BL218" s="5"/>
    </row>
    <row r="219" ht="16" customHeight="1" spans="1:6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102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5"/>
      <c r="AE219" s="26"/>
      <c r="AF219" s="27"/>
      <c r="AG219" s="26"/>
      <c r="AH219" s="26"/>
      <c r="AI219" s="26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5"/>
      <c r="BJ219" s="5"/>
      <c r="BK219" s="5"/>
      <c r="BL219" s="5"/>
    </row>
    <row r="220" spans="1:6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5"/>
      <c r="BJ220" s="5"/>
      <c r="BK220" s="5"/>
      <c r="BL220" s="5"/>
    </row>
    <row r="221" spans="1:6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5"/>
      <c r="BJ221" s="5"/>
      <c r="BK221" s="5"/>
      <c r="BL221" s="5"/>
    </row>
    <row r="222" spans="1:6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5"/>
      <c r="BJ222" s="5"/>
      <c r="BK222" s="5"/>
      <c r="BL222" s="5"/>
    </row>
    <row r="223" spans="1:6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5"/>
      <c r="BJ223" s="5"/>
      <c r="BK223" s="5"/>
      <c r="BL223" s="5"/>
    </row>
    <row r="224" spans="1:64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5"/>
      <c r="BJ224" s="5"/>
      <c r="BK224" s="5"/>
      <c r="BL224" s="5"/>
    </row>
    <row r="225" spans="1:64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5"/>
      <c r="BJ225" s="5"/>
      <c r="BK225" s="5"/>
      <c r="BL225" s="5"/>
    </row>
    <row r="226" spans="1:64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5"/>
      <c r="BJ226" s="5"/>
      <c r="BK226" s="5"/>
      <c r="BL226" s="5"/>
    </row>
    <row r="227" spans="1:64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5"/>
      <c r="BJ227" s="5"/>
      <c r="BK227" s="5"/>
      <c r="BL227" s="5"/>
    </row>
    <row r="228" spans="1:64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5"/>
      <c r="BJ228" s="5"/>
      <c r="BK228" s="5"/>
      <c r="BL228" s="5"/>
    </row>
    <row r="229" spans="1:64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5"/>
      <c r="BJ229" s="5"/>
      <c r="BK229" s="5"/>
      <c r="BL229" s="5"/>
    </row>
    <row r="230" spans="1:64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5"/>
      <c r="BJ230" s="5"/>
      <c r="BK230" s="5"/>
      <c r="BL230" s="5"/>
    </row>
    <row r="231" spans="1:64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5"/>
      <c r="BJ231" s="5"/>
      <c r="BK231" s="5"/>
      <c r="BL231" s="5"/>
    </row>
    <row r="232" spans="1:64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5"/>
      <c r="BJ232" s="5"/>
      <c r="BK232" s="5"/>
      <c r="BL232" s="5"/>
    </row>
    <row r="233" spans="1:64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5"/>
      <c r="BJ233" s="5"/>
      <c r="BK233" s="5"/>
      <c r="BL233" s="5"/>
    </row>
    <row r="234" spans="1:64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5"/>
      <c r="BJ234" s="5"/>
      <c r="BK234" s="5"/>
      <c r="BL234" s="5"/>
    </row>
    <row r="235" spans="1:64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5"/>
      <c r="BJ235" s="5"/>
      <c r="BK235" s="5"/>
      <c r="BL235" s="5"/>
    </row>
    <row r="236" spans="1:64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5"/>
      <c r="BJ236" s="5"/>
      <c r="BK236" s="5"/>
      <c r="BL236" s="5"/>
    </row>
    <row r="237" spans="1:64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5"/>
      <c r="BJ237" s="5"/>
      <c r="BK237" s="5"/>
      <c r="BL237" s="5"/>
    </row>
    <row r="238" spans="1:64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5"/>
      <c r="BJ238" s="5"/>
      <c r="BK238" s="5"/>
      <c r="BL238" s="5"/>
    </row>
    <row r="239" spans="1:64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5"/>
      <c r="BJ239" s="5"/>
      <c r="BK239" s="5"/>
      <c r="BL239" s="5"/>
    </row>
    <row r="240" spans="1:64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5"/>
      <c r="BJ240" s="5"/>
      <c r="BK240" s="5"/>
      <c r="BL240" s="5"/>
    </row>
    <row r="241" spans="1:64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5"/>
      <c r="BJ241" s="5"/>
      <c r="BK241" s="5"/>
      <c r="BL241" s="5"/>
    </row>
    <row r="242" spans="1:64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5"/>
      <c r="BJ242" s="5"/>
      <c r="BK242" s="5"/>
      <c r="BL242" s="5"/>
    </row>
    <row r="243" spans="1:64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5"/>
      <c r="BJ243" s="5"/>
      <c r="BK243" s="5"/>
      <c r="BL243" s="5"/>
    </row>
    <row r="244" spans="1:64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5"/>
      <c r="BJ244" s="5"/>
      <c r="BK244" s="5"/>
      <c r="BL244" s="5"/>
    </row>
    <row r="245" spans="1:64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5"/>
      <c r="BJ245" s="5"/>
      <c r="BK245" s="5"/>
      <c r="BL245" s="5"/>
    </row>
    <row r="246" spans="1:64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5"/>
      <c r="BJ246" s="5"/>
      <c r="BK246" s="5"/>
      <c r="BL246" s="5"/>
    </row>
    <row r="247" spans="1:64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5"/>
      <c r="BJ247" s="5"/>
      <c r="BK247" s="5"/>
      <c r="BL247" s="5"/>
    </row>
    <row r="248" spans="1:64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5"/>
      <c r="BJ248" s="5"/>
      <c r="BK248" s="5"/>
      <c r="BL248" s="5"/>
    </row>
    <row r="249" spans="1:64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5"/>
      <c r="BJ249" s="5"/>
      <c r="BK249" s="5"/>
      <c r="BL249" s="5"/>
    </row>
    <row r="250" spans="1:64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5"/>
      <c r="BJ250" s="5"/>
      <c r="BK250" s="5"/>
      <c r="BL250" s="5"/>
    </row>
    <row r="251" spans="1:64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5"/>
      <c r="BJ251" s="5"/>
      <c r="BK251" s="5"/>
      <c r="BL251" s="5"/>
    </row>
    <row r="252" spans="1:64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5"/>
      <c r="BJ252" s="5"/>
      <c r="BK252" s="5"/>
      <c r="BL252" s="5"/>
    </row>
    <row r="253" spans="1:64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5"/>
      <c r="BJ253" s="5"/>
      <c r="BK253" s="5"/>
      <c r="BL253" s="5"/>
    </row>
    <row r="254" spans="1:64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5"/>
      <c r="BJ254" s="5"/>
      <c r="BK254" s="5"/>
      <c r="BL254" s="5"/>
    </row>
    <row r="255" spans="1:64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5"/>
      <c r="BJ255" s="5"/>
      <c r="BK255" s="5"/>
      <c r="BL255" s="5"/>
    </row>
    <row r="256" spans="1:64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5"/>
      <c r="BJ256" s="5"/>
      <c r="BK256" s="5"/>
      <c r="BL256" s="5"/>
    </row>
    <row r="257" spans="1:64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5"/>
      <c r="BJ257" s="5"/>
      <c r="BK257" s="5"/>
      <c r="BL257" s="5"/>
    </row>
    <row r="258" spans="1:64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5"/>
      <c r="BJ258" s="5"/>
      <c r="BK258" s="5"/>
      <c r="BL258" s="5"/>
    </row>
    <row r="259" spans="1:64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5"/>
      <c r="BJ259" s="5"/>
      <c r="BK259" s="5"/>
      <c r="BL259" s="5"/>
    </row>
    <row r="260" spans="1:64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5"/>
      <c r="BJ260" s="5"/>
      <c r="BK260" s="5"/>
      <c r="BL260" s="5"/>
    </row>
    <row r="261" spans="1:64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5"/>
      <c r="BJ261" s="5"/>
      <c r="BK261" s="5"/>
      <c r="BL261" s="5"/>
    </row>
    <row r="262" spans="1:64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5"/>
      <c r="BJ262" s="5"/>
      <c r="BK262" s="5"/>
      <c r="BL262" s="5"/>
    </row>
    <row r="263" spans="1:64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5"/>
      <c r="BJ263" s="5"/>
      <c r="BK263" s="5"/>
      <c r="BL263" s="5"/>
    </row>
    <row r="264" spans="1:64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5"/>
      <c r="BJ264" s="5"/>
      <c r="BK264" s="5"/>
      <c r="BL264" s="5"/>
    </row>
    <row r="265" spans="1:64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5"/>
      <c r="BJ265" s="5"/>
      <c r="BK265" s="5"/>
      <c r="BL265" s="5"/>
    </row>
    <row r="266" spans="1:64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5"/>
      <c r="BJ266" s="5"/>
      <c r="BK266" s="5"/>
      <c r="BL266" s="5"/>
    </row>
    <row r="267" spans="1:64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5"/>
      <c r="BJ267" s="5"/>
      <c r="BK267" s="5"/>
      <c r="BL267" s="5"/>
    </row>
    <row r="268" spans="1:64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5"/>
      <c r="BJ268" s="5"/>
      <c r="BK268" s="5"/>
      <c r="BL268" s="5"/>
    </row>
    <row r="269" spans="1:64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5"/>
      <c r="BJ269" s="5"/>
      <c r="BK269" s="5"/>
      <c r="BL269" s="5"/>
    </row>
    <row r="270" spans="1:64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5"/>
      <c r="BJ270" s="5"/>
      <c r="BK270" s="5"/>
      <c r="BL270" s="5"/>
    </row>
    <row r="271" spans="1:64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5"/>
      <c r="BJ271" s="5"/>
      <c r="BK271" s="5"/>
      <c r="BL271" s="5"/>
    </row>
    <row r="272" spans="1:64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5"/>
      <c r="BJ272" s="5"/>
      <c r="BK272" s="5"/>
      <c r="BL272" s="5"/>
    </row>
    <row r="273" spans="1:64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5"/>
      <c r="BJ273" s="5"/>
      <c r="BK273" s="5"/>
      <c r="BL273" s="5"/>
    </row>
    <row r="274" spans="1:64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5"/>
      <c r="BJ274" s="5"/>
      <c r="BK274" s="5"/>
      <c r="BL274" s="5"/>
    </row>
    <row r="275" spans="1:64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5"/>
      <c r="BJ275" s="5"/>
      <c r="BK275" s="5"/>
      <c r="BL275" s="5"/>
    </row>
    <row r="276" spans="1:64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5"/>
      <c r="BJ276" s="5"/>
      <c r="BK276" s="5"/>
      <c r="BL276" s="5"/>
    </row>
    <row r="277" spans="1:64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5"/>
      <c r="BJ277" s="5"/>
      <c r="BK277" s="5"/>
      <c r="BL277" s="5"/>
    </row>
    <row r="278" spans="1:64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5"/>
      <c r="BJ278" s="5"/>
      <c r="BK278" s="5"/>
      <c r="BL278" s="5"/>
    </row>
    <row r="279" spans="1:64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5"/>
      <c r="BJ279" s="5"/>
      <c r="BK279" s="5"/>
      <c r="BL279" s="5"/>
    </row>
    <row r="280" spans="1:64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5"/>
      <c r="BJ280" s="5"/>
      <c r="BK280" s="5"/>
      <c r="BL280" s="5"/>
    </row>
    <row r="281" spans="1:64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5"/>
      <c r="BJ281" s="5"/>
      <c r="BK281" s="5"/>
      <c r="BL281" s="5"/>
    </row>
    <row r="282" spans="1:64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5"/>
      <c r="BJ282" s="5"/>
      <c r="BK282" s="5"/>
      <c r="BL282" s="5"/>
    </row>
    <row r="283" spans="1:64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5"/>
      <c r="BJ283" s="5"/>
      <c r="BK283" s="5"/>
      <c r="BL283" s="5"/>
    </row>
    <row r="284" spans="1:64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5"/>
      <c r="BJ284" s="5"/>
      <c r="BK284" s="5"/>
      <c r="BL284" s="5"/>
    </row>
    <row r="285" spans="1:64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5"/>
      <c r="BJ285" s="5"/>
      <c r="BK285" s="5"/>
      <c r="BL285" s="5"/>
    </row>
    <row r="286" spans="1:64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5"/>
      <c r="BJ286" s="5"/>
      <c r="BK286" s="5"/>
      <c r="BL286" s="5"/>
    </row>
    <row r="287" spans="1:64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5"/>
      <c r="BJ287" s="5"/>
      <c r="BK287" s="5"/>
      <c r="BL287" s="5"/>
    </row>
    <row r="288" spans="1:64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5"/>
      <c r="BJ288" s="5"/>
      <c r="BK288" s="5"/>
      <c r="BL288" s="5"/>
    </row>
    <row r="289" spans="1:64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5"/>
      <c r="BJ289" s="5"/>
      <c r="BK289" s="5"/>
      <c r="BL289" s="5"/>
    </row>
    <row r="290" spans="1:64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5"/>
      <c r="BJ290" s="5"/>
      <c r="BK290" s="5"/>
      <c r="BL290" s="5"/>
    </row>
    <row r="291" spans="1:64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5"/>
      <c r="BJ291" s="5"/>
      <c r="BK291" s="5"/>
      <c r="BL291" s="5"/>
    </row>
    <row r="292" spans="1:64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5"/>
      <c r="BJ292" s="5"/>
      <c r="BK292" s="5"/>
      <c r="BL292" s="5"/>
    </row>
    <row r="293" spans="1:64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5"/>
      <c r="BJ293" s="5"/>
      <c r="BK293" s="5"/>
      <c r="BL293" s="5"/>
    </row>
    <row r="294" spans="1:64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5"/>
      <c r="BJ294" s="5"/>
      <c r="BK294" s="5"/>
      <c r="BL294" s="5"/>
    </row>
    <row r="295" spans="1:64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5"/>
      <c r="BJ295" s="5"/>
      <c r="BK295" s="5"/>
      <c r="BL295" s="5"/>
    </row>
    <row r="296" spans="1:64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5"/>
      <c r="BJ296" s="5"/>
      <c r="BK296" s="5"/>
      <c r="BL296" s="5"/>
    </row>
    <row r="297" spans="1:64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5"/>
      <c r="BJ297" s="5"/>
      <c r="BK297" s="5"/>
      <c r="BL297" s="5"/>
    </row>
    <row r="298" spans="1:64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5"/>
      <c r="BJ298" s="5"/>
      <c r="BK298" s="5"/>
      <c r="BL298" s="5"/>
    </row>
    <row r="299" spans="1:64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5"/>
      <c r="BJ299" s="5"/>
      <c r="BK299" s="5"/>
      <c r="BL299" s="5"/>
    </row>
    <row r="300" spans="1:64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5"/>
      <c r="BJ300" s="5"/>
      <c r="BK300" s="5"/>
      <c r="BL300" s="5"/>
    </row>
    <row r="301" spans="1:64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5"/>
      <c r="BJ301" s="5"/>
      <c r="BK301" s="5"/>
      <c r="BL301" s="5"/>
    </row>
    <row r="302" spans="1:64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5"/>
      <c r="BJ302" s="5"/>
      <c r="BK302" s="5"/>
      <c r="BL302" s="5"/>
    </row>
    <row r="303" spans="1:64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5"/>
      <c r="BJ303" s="5"/>
      <c r="BK303" s="5"/>
      <c r="BL303" s="5"/>
    </row>
    <row r="304" spans="1:64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5"/>
      <c r="BJ304" s="5"/>
      <c r="BK304" s="5"/>
      <c r="BL304" s="5"/>
    </row>
    <row r="305" spans="1:64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5"/>
      <c r="BJ305" s="5"/>
      <c r="BK305" s="5"/>
      <c r="BL305" s="5"/>
    </row>
    <row r="306" spans="1:64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5"/>
      <c r="BJ306" s="5"/>
      <c r="BK306" s="5"/>
      <c r="BL306" s="5"/>
    </row>
    <row r="307" spans="1:64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5"/>
      <c r="BJ307" s="5"/>
      <c r="BK307" s="5"/>
      <c r="BL307" s="5"/>
    </row>
    <row r="308" spans="1:64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5"/>
      <c r="BJ308" s="5"/>
      <c r="BK308" s="5"/>
      <c r="BL308" s="5"/>
    </row>
    <row r="309" spans="1:64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5"/>
      <c r="BJ309" s="5"/>
      <c r="BK309" s="5"/>
      <c r="BL309" s="5"/>
    </row>
    <row r="310" spans="1:64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5"/>
      <c r="BJ310" s="5"/>
      <c r="BK310" s="5"/>
      <c r="BL310" s="5"/>
    </row>
    <row r="311" spans="1:64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5"/>
      <c r="BJ311" s="5"/>
      <c r="BK311" s="5"/>
      <c r="BL311" s="5"/>
    </row>
    <row r="312" spans="1:64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5"/>
      <c r="BJ312" s="5"/>
      <c r="BK312" s="5"/>
      <c r="BL312" s="5"/>
    </row>
    <row r="313" spans="1:64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5"/>
      <c r="BJ313" s="5"/>
      <c r="BK313" s="5"/>
      <c r="BL313" s="5"/>
    </row>
    <row r="314" spans="1:64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5"/>
      <c r="BJ314" s="5"/>
      <c r="BK314" s="5"/>
      <c r="BL314" s="5"/>
    </row>
    <row r="315" spans="1:64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5"/>
      <c r="BJ315" s="5"/>
      <c r="BK315" s="5"/>
      <c r="BL315" s="5"/>
    </row>
    <row r="316" spans="1:64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5"/>
      <c r="BJ316" s="5"/>
      <c r="BK316" s="5"/>
      <c r="BL316" s="5"/>
    </row>
    <row r="317" spans="1:64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5"/>
      <c r="BJ317" s="5"/>
      <c r="BK317" s="5"/>
      <c r="BL317" s="5"/>
    </row>
    <row r="318" spans="1:64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5"/>
      <c r="BJ318" s="5"/>
      <c r="BK318" s="5"/>
      <c r="BL318" s="5"/>
    </row>
    <row r="319" spans="1:64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5"/>
      <c r="BJ319" s="5"/>
      <c r="BK319" s="5"/>
      <c r="BL319" s="5"/>
    </row>
    <row r="320" spans="1:64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5"/>
      <c r="BJ320" s="5"/>
      <c r="BK320" s="5"/>
      <c r="BL320" s="5"/>
    </row>
    <row r="321" spans="1:64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5"/>
      <c r="BJ321" s="5"/>
      <c r="BK321" s="5"/>
      <c r="BL321" s="5"/>
    </row>
    <row r="322" spans="1:64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5"/>
      <c r="BJ322" s="5"/>
      <c r="BK322" s="5"/>
      <c r="BL322" s="5"/>
    </row>
    <row r="323" spans="1:64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5"/>
      <c r="BJ323" s="5"/>
      <c r="BK323" s="5"/>
      <c r="BL323" s="5"/>
    </row>
    <row r="324" spans="1:64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5"/>
      <c r="BJ324" s="5"/>
      <c r="BK324" s="5"/>
      <c r="BL324" s="5"/>
    </row>
    <row r="325" spans="1:64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5"/>
      <c r="BJ325" s="5"/>
      <c r="BK325" s="5"/>
      <c r="BL325" s="5"/>
    </row>
    <row r="326" spans="1:64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5"/>
      <c r="BJ326" s="5"/>
      <c r="BK326" s="5"/>
      <c r="BL326" s="5"/>
    </row>
    <row r="327" spans="1:64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5"/>
      <c r="BJ327" s="5"/>
      <c r="BK327" s="5"/>
      <c r="BL327" s="5"/>
    </row>
    <row r="328" spans="1:64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5"/>
      <c r="BJ328" s="5"/>
      <c r="BK328" s="5"/>
      <c r="BL328" s="5"/>
    </row>
    <row r="329" spans="1:64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5"/>
      <c r="BJ329" s="5"/>
      <c r="BK329" s="5"/>
      <c r="BL329" s="5"/>
    </row>
    <row r="330" spans="1:64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5"/>
      <c r="BJ330" s="5"/>
      <c r="BK330" s="5"/>
      <c r="BL330" s="5"/>
    </row>
    <row r="331" spans="1:64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5"/>
      <c r="BJ331" s="5"/>
      <c r="BK331" s="5"/>
      <c r="BL331" s="5"/>
    </row>
    <row r="332" spans="1:64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5"/>
      <c r="BJ332" s="5"/>
      <c r="BK332" s="5"/>
      <c r="BL332" s="5"/>
    </row>
    <row r="333" spans="1:64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5"/>
      <c r="BJ333" s="5"/>
      <c r="BK333" s="5"/>
      <c r="BL333" s="5"/>
    </row>
    <row r="334" spans="1:64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5"/>
      <c r="BJ334" s="5"/>
      <c r="BK334" s="5"/>
      <c r="BL334" s="5"/>
    </row>
    <row r="335" spans="1:64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5"/>
      <c r="BJ335" s="5"/>
      <c r="BK335" s="5"/>
      <c r="BL335" s="5"/>
    </row>
    <row r="336" spans="1:64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5"/>
      <c r="BJ336" s="5"/>
      <c r="BK336" s="5"/>
      <c r="BL336" s="5"/>
    </row>
    <row r="337" spans="1:64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5"/>
      <c r="BJ337" s="5"/>
      <c r="BK337" s="5"/>
      <c r="BL337" s="5"/>
    </row>
    <row r="338" spans="1:64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5"/>
      <c r="BJ338" s="5"/>
      <c r="BK338" s="5"/>
      <c r="BL338" s="5"/>
    </row>
    <row r="339" spans="1:64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5"/>
      <c r="BJ339" s="5"/>
      <c r="BK339" s="5"/>
      <c r="BL339" s="5"/>
    </row>
    <row r="340" spans="1:64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5"/>
      <c r="BJ340" s="5"/>
      <c r="BK340" s="5"/>
      <c r="BL340" s="5"/>
    </row>
    <row r="341" spans="1:64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5"/>
      <c r="BJ341" s="5"/>
      <c r="BK341" s="5"/>
      <c r="BL341" s="5"/>
    </row>
    <row r="342" spans="1:64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5"/>
      <c r="BJ342" s="5"/>
      <c r="BK342" s="5"/>
      <c r="BL342" s="5"/>
    </row>
    <row r="343" spans="1:64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5"/>
      <c r="BJ343" s="5"/>
      <c r="BK343" s="5"/>
      <c r="BL343" s="5"/>
    </row>
    <row r="344" spans="1:64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5"/>
      <c r="BJ344" s="5"/>
      <c r="BK344" s="5"/>
      <c r="BL344" s="5"/>
    </row>
    <row r="345" spans="1:64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5"/>
      <c r="BJ345" s="5"/>
      <c r="BK345" s="5"/>
      <c r="BL345" s="5"/>
    </row>
    <row r="346" spans="1:64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5"/>
      <c r="BJ346" s="5"/>
      <c r="BK346" s="5"/>
      <c r="BL346" s="5"/>
    </row>
    <row r="347" spans="1:64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5"/>
      <c r="BJ347" s="5"/>
      <c r="BK347" s="5"/>
      <c r="BL347" s="5"/>
    </row>
    <row r="348" spans="1:64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5"/>
      <c r="BJ348" s="5"/>
      <c r="BK348" s="5"/>
      <c r="BL348" s="5"/>
    </row>
    <row r="349" spans="1:64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5"/>
      <c r="BJ349" s="5"/>
      <c r="BK349" s="5"/>
      <c r="BL349" s="5"/>
    </row>
    <row r="350" spans="1:64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5"/>
      <c r="BJ350" s="5"/>
      <c r="BK350" s="5"/>
      <c r="BL350" s="5"/>
    </row>
    <row r="351" spans="1:64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5"/>
      <c r="BJ351" s="5"/>
      <c r="BK351" s="5"/>
      <c r="BL351" s="5"/>
    </row>
    <row r="352" spans="1:64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5"/>
      <c r="BJ352" s="5"/>
      <c r="BK352" s="5"/>
      <c r="BL352" s="5"/>
    </row>
    <row r="353" spans="1:64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5"/>
      <c r="BJ353" s="5"/>
      <c r="BK353" s="5"/>
      <c r="BL353" s="5"/>
    </row>
    <row r="354" spans="1:64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5"/>
      <c r="BJ354" s="5"/>
      <c r="BK354" s="5"/>
      <c r="BL354" s="5"/>
    </row>
    <row r="355" spans="1:64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5"/>
      <c r="BJ355" s="5"/>
      <c r="BK355" s="5"/>
      <c r="BL355" s="5"/>
    </row>
    <row r="356" spans="1:64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5"/>
      <c r="BJ356" s="5"/>
      <c r="BK356" s="5"/>
      <c r="BL356" s="5"/>
    </row>
    <row r="357" spans="1:64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5"/>
      <c r="BJ357" s="5"/>
      <c r="BK357" s="5"/>
      <c r="BL357" s="5"/>
    </row>
    <row r="358" spans="1:64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5"/>
      <c r="BJ358" s="5"/>
      <c r="BK358" s="5"/>
      <c r="BL358" s="5"/>
    </row>
    <row r="359" spans="1:64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5"/>
      <c r="BJ359" s="5"/>
      <c r="BK359" s="5"/>
      <c r="BL359" s="5"/>
    </row>
    <row r="360" spans="1:64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5"/>
      <c r="BJ360" s="5"/>
      <c r="BK360" s="5"/>
      <c r="BL360" s="5"/>
    </row>
    <row r="361" spans="1:64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5"/>
      <c r="BJ361" s="5"/>
      <c r="BK361" s="5"/>
      <c r="BL361" s="5"/>
    </row>
    <row r="362" spans="1:64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5"/>
      <c r="BJ362" s="5"/>
      <c r="BK362" s="5"/>
      <c r="BL362" s="5"/>
    </row>
    <row r="363" spans="1:64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5"/>
      <c r="BJ363" s="5"/>
      <c r="BK363" s="5"/>
      <c r="BL363" s="5"/>
    </row>
    <row r="364" spans="1:64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5"/>
      <c r="BJ364" s="5"/>
      <c r="BK364" s="5"/>
      <c r="BL364" s="5"/>
    </row>
    <row r="365" spans="1:64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5"/>
      <c r="BJ365" s="5"/>
      <c r="BK365" s="5"/>
      <c r="BL365" s="5"/>
    </row>
    <row r="366" spans="1:64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5"/>
      <c r="BJ366" s="5"/>
      <c r="BK366" s="5"/>
      <c r="BL366" s="5"/>
    </row>
    <row r="367" spans="1:64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5"/>
      <c r="BJ367" s="5"/>
      <c r="BK367" s="5"/>
      <c r="BL367" s="5"/>
    </row>
    <row r="368" spans="1:64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5"/>
      <c r="BJ368" s="5"/>
      <c r="BK368" s="5"/>
      <c r="BL368" s="5"/>
    </row>
    <row r="369" spans="1:64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5"/>
      <c r="BJ369" s="5"/>
      <c r="BK369" s="5"/>
      <c r="BL369" s="5"/>
    </row>
    <row r="370" spans="1:64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5"/>
      <c r="BJ370" s="5"/>
      <c r="BK370" s="5"/>
      <c r="BL370" s="5"/>
    </row>
    <row r="371" spans="1:64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5"/>
      <c r="BJ371" s="5"/>
      <c r="BK371" s="5"/>
      <c r="BL371" s="5"/>
    </row>
    <row r="372" spans="1:64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5"/>
      <c r="BJ372" s="5"/>
      <c r="BK372" s="5"/>
      <c r="BL372" s="5"/>
    </row>
    <row r="373" spans="1:64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5"/>
      <c r="BJ373" s="5"/>
      <c r="BK373" s="5"/>
      <c r="BL373" s="5"/>
    </row>
    <row r="374" spans="1:64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5"/>
      <c r="BJ374" s="5"/>
      <c r="BK374" s="5"/>
      <c r="BL374" s="5"/>
    </row>
    <row r="375" spans="1:64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5"/>
      <c r="BJ375" s="5"/>
      <c r="BK375" s="5"/>
      <c r="BL375" s="5"/>
    </row>
    <row r="376" spans="1:64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5"/>
      <c r="BJ376" s="5"/>
      <c r="BK376" s="5"/>
      <c r="BL376" s="5"/>
    </row>
    <row r="377" spans="1:64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5"/>
      <c r="BJ377" s="5"/>
      <c r="BK377" s="5"/>
      <c r="BL377" s="5"/>
    </row>
    <row r="378" spans="1:64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5"/>
      <c r="BJ378" s="5"/>
      <c r="BK378" s="5"/>
      <c r="BL378" s="5"/>
    </row>
    <row r="379" spans="1:64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5"/>
      <c r="BJ379" s="5"/>
      <c r="BK379" s="5"/>
      <c r="BL379" s="5"/>
    </row>
    <row r="380" spans="1:64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5"/>
      <c r="BJ380" s="5"/>
      <c r="BK380" s="5"/>
      <c r="BL380" s="5"/>
    </row>
    <row r="381" spans="1:64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5"/>
      <c r="BJ381" s="5"/>
      <c r="BK381" s="5"/>
      <c r="BL381" s="5"/>
    </row>
    <row r="382" spans="1:64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5"/>
      <c r="BJ382" s="5"/>
      <c r="BK382" s="5"/>
      <c r="BL382" s="5"/>
    </row>
    <row r="383" spans="1:64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5"/>
      <c r="BJ383" s="5"/>
      <c r="BK383" s="5"/>
      <c r="BL383" s="5"/>
    </row>
    <row r="384" spans="1:64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5"/>
      <c r="BJ384" s="5"/>
      <c r="BK384" s="5"/>
      <c r="BL384" s="5"/>
    </row>
    <row r="385" spans="1:64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5"/>
      <c r="BJ385" s="5"/>
      <c r="BK385" s="5"/>
      <c r="BL385" s="5"/>
    </row>
    <row r="386" spans="1:64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5"/>
      <c r="BJ386" s="5"/>
      <c r="BK386" s="5"/>
      <c r="BL386" s="5"/>
    </row>
    <row r="387" spans="1:64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5"/>
      <c r="BJ387" s="5"/>
      <c r="BK387" s="5"/>
      <c r="BL387" s="5"/>
    </row>
    <row r="388" spans="1:64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5"/>
      <c r="BJ388" s="5"/>
      <c r="BK388" s="5"/>
      <c r="BL388" s="5"/>
    </row>
    <row r="389" spans="1:64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5"/>
      <c r="BJ389" s="5"/>
      <c r="BK389" s="5"/>
      <c r="BL389" s="5"/>
    </row>
    <row r="390" spans="1:64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5"/>
      <c r="BJ390" s="5"/>
      <c r="BK390" s="5"/>
      <c r="BL390" s="5"/>
    </row>
    <row r="391" spans="1:64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5"/>
      <c r="BJ391" s="5"/>
      <c r="BK391" s="5"/>
      <c r="BL391" s="5"/>
    </row>
    <row r="392" spans="1:64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5"/>
      <c r="BJ392" s="5"/>
      <c r="BK392" s="5"/>
      <c r="BL392" s="5"/>
    </row>
    <row r="393" spans="1:64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5"/>
      <c r="BJ393" s="5"/>
      <c r="BK393" s="5"/>
      <c r="BL393" s="5"/>
    </row>
    <row r="394" spans="1:64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5"/>
      <c r="BJ394" s="5"/>
      <c r="BK394" s="5"/>
      <c r="BL394" s="5"/>
    </row>
    <row r="395" spans="1:64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5"/>
      <c r="BJ395" s="5"/>
      <c r="BK395" s="5"/>
      <c r="BL395" s="5"/>
    </row>
    <row r="396" spans="1:64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5"/>
      <c r="BJ396" s="5"/>
      <c r="BK396" s="5"/>
      <c r="BL396" s="5"/>
    </row>
    <row r="397" spans="1:64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5"/>
      <c r="BJ397" s="5"/>
      <c r="BK397" s="5"/>
      <c r="BL397" s="5"/>
    </row>
    <row r="398" spans="1:64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5"/>
      <c r="BJ398" s="5"/>
      <c r="BK398" s="5"/>
      <c r="BL398" s="5"/>
    </row>
    <row r="399" spans="1:64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5"/>
      <c r="BJ399" s="5"/>
      <c r="BK399" s="5"/>
      <c r="BL399" s="5"/>
    </row>
    <row r="400" spans="1:64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5"/>
      <c r="BJ400" s="5"/>
      <c r="BK400" s="5"/>
      <c r="BL400" s="5"/>
    </row>
    <row r="401" spans="1:64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5"/>
      <c r="BJ401" s="5"/>
      <c r="BK401" s="5"/>
      <c r="BL401" s="5"/>
    </row>
    <row r="402" spans="1:64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5"/>
      <c r="BJ402" s="5"/>
      <c r="BK402" s="5"/>
      <c r="BL402" s="5"/>
    </row>
    <row r="403" spans="1:64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5"/>
      <c r="BJ403" s="5"/>
      <c r="BK403" s="5"/>
      <c r="BL403" s="5"/>
    </row>
    <row r="404" spans="1:64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5"/>
      <c r="BJ404" s="5"/>
      <c r="BK404" s="5"/>
      <c r="BL404" s="5"/>
    </row>
    <row r="405" spans="1:64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5"/>
      <c r="BJ405" s="5"/>
      <c r="BK405" s="5"/>
      <c r="BL405" s="5"/>
    </row>
    <row r="406" spans="1:64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5"/>
      <c r="BJ406" s="5"/>
      <c r="BK406" s="5"/>
      <c r="BL406" s="5"/>
    </row>
    <row r="407" spans="1:64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5"/>
      <c r="BJ407" s="5"/>
      <c r="BK407" s="5"/>
      <c r="BL407" s="5"/>
    </row>
    <row r="408" spans="1:64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5"/>
      <c r="BJ408" s="5"/>
      <c r="BK408" s="5"/>
      <c r="BL408" s="5"/>
    </row>
    <row r="409" spans="1:64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5"/>
      <c r="BJ409" s="5"/>
      <c r="BK409" s="5"/>
      <c r="BL409" s="5"/>
    </row>
    <row r="410" spans="1:64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5"/>
      <c r="BJ410" s="5"/>
      <c r="BK410" s="5"/>
      <c r="BL410" s="5"/>
    </row>
    <row r="411" spans="1:64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5"/>
      <c r="BJ411" s="5"/>
      <c r="BK411" s="5"/>
      <c r="BL411" s="5"/>
    </row>
    <row r="412" spans="1:64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5"/>
      <c r="BJ412" s="5"/>
      <c r="BK412" s="5"/>
      <c r="BL412" s="5"/>
    </row>
    <row r="413" spans="1:64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5"/>
      <c r="BJ413" s="5"/>
      <c r="BK413" s="5"/>
      <c r="BL413" s="5"/>
    </row>
    <row r="414" spans="1:64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5"/>
      <c r="BJ414" s="5"/>
      <c r="BK414" s="5"/>
      <c r="BL414" s="5"/>
    </row>
    <row r="415" spans="1:64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5"/>
      <c r="BJ415" s="5"/>
      <c r="BK415" s="5"/>
      <c r="BL415" s="5"/>
    </row>
    <row r="416" spans="1:64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5"/>
      <c r="BJ416" s="5"/>
      <c r="BK416" s="5"/>
      <c r="BL416" s="5"/>
    </row>
    <row r="417" spans="1:64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5"/>
      <c r="BJ417" s="5"/>
      <c r="BK417" s="5"/>
      <c r="BL417" s="5"/>
    </row>
    <row r="418" spans="1:64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5"/>
      <c r="BJ418" s="5"/>
      <c r="BK418" s="5"/>
      <c r="BL418" s="5"/>
    </row>
    <row r="419" spans="1:64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5"/>
      <c r="BJ419" s="5"/>
      <c r="BK419" s="5"/>
      <c r="BL419" s="5"/>
    </row>
    <row r="420" spans="1:64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5"/>
      <c r="BJ420" s="5"/>
      <c r="BK420" s="5"/>
      <c r="BL420" s="5"/>
    </row>
    <row r="421" spans="1:64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5"/>
      <c r="BJ421" s="5"/>
      <c r="BK421" s="5"/>
      <c r="BL421" s="5"/>
    </row>
    <row r="422" spans="1:64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5"/>
      <c r="BJ422" s="5"/>
      <c r="BK422" s="5"/>
      <c r="BL422" s="5"/>
    </row>
    <row r="423" spans="1:64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5"/>
      <c r="BJ423" s="5"/>
      <c r="BK423" s="5"/>
      <c r="BL423" s="5"/>
    </row>
    <row r="424" spans="1:64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5"/>
      <c r="BJ424" s="5"/>
      <c r="BK424" s="5"/>
      <c r="BL424" s="5"/>
    </row>
    <row r="425" spans="1:64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5"/>
      <c r="BJ425" s="5"/>
      <c r="BK425" s="5"/>
      <c r="BL425" s="5"/>
    </row>
    <row r="426" spans="1:64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5"/>
      <c r="BJ426" s="5"/>
      <c r="BK426" s="5"/>
      <c r="BL426" s="5"/>
    </row>
    <row r="427" spans="1:64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5"/>
      <c r="BJ427" s="5"/>
      <c r="BK427" s="5"/>
      <c r="BL427" s="5"/>
    </row>
    <row r="428" spans="1:64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5"/>
      <c r="BJ428" s="5"/>
      <c r="BK428" s="5"/>
      <c r="BL428" s="5"/>
    </row>
    <row r="429" spans="1:64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5"/>
      <c r="BJ429" s="5"/>
      <c r="BK429" s="5"/>
      <c r="BL429" s="5"/>
    </row>
    <row r="430" spans="1:64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5"/>
      <c r="BJ430" s="5"/>
      <c r="BK430" s="5"/>
      <c r="BL430" s="5"/>
    </row>
    <row r="431" spans="1:64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5"/>
      <c r="BJ431" s="5"/>
      <c r="BK431" s="5"/>
      <c r="BL431" s="5"/>
    </row>
    <row r="432" spans="1:64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5"/>
      <c r="BJ432" s="5"/>
      <c r="BK432" s="5"/>
      <c r="BL432" s="5"/>
    </row>
    <row r="433" spans="1:64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5"/>
      <c r="BJ433" s="5"/>
      <c r="BK433" s="5"/>
      <c r="BL433" s="5"/>
    </row>
    <row r="434" spans="1:64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5"/>
      <c r="BJ434" s="5"/>
      <c r="BK434" s="5"/>
      <c r="BL434" s="5"/>
    </row>
    <row r="435" spans="1:64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5"/>
      <c r="BJ435" s="5"/>
      <c r="BK435" s="5"/>
      <c r="BL435" s="5"/>
    </row>
    <row r="436" spans="1:64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5"/>
      <c r="BJ436" s="5"/>
      <c r="BK436" s="5"/>
      <c r="BL436" s="5"/>
    </row>
    <row r="437" spans="1:64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5"/>
      <c r="BJ437" s="5"/>
      <c r="BK437" s="5"/>
      <c r="BL437" s="5"/>
    </row>
    <row r="438" spans="1:64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5"/>
      <c r="BJ438" s="5"/>
      <c r="BK438" s="5"/>
      <c r="BL438" s="5"/>
    </row>
    <row r="439" spans="1:64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5"/>
      <c r="BJ439" s="5"/>
      <c r="BK439" s="5"/>
      <c r="BL439" s="5"/>
    </row>
    <row r="440" spans="1:64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5"/>
      <c r="BJ440" s="5"/>
      <c r="BK440" s="5"/>
      <c r="BL440" s="5"/>
    </row>
    <row r="441" spans="1:64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5"/>
      <c r="BJ441" s="5"/>
      <c r="BK441" s="5"/>
      <c r="BL441" s="5"/>
    </row>
    <row r="442" spans="1:64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5"/>
      <c r="BJ442" s="5"/>
      <c r="BK442" s="5"/>
      <c r="BL442" s="5"/>
    </row>
    <row r="443" spans="1:64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5"/>
      <c r="BJ443" s="5"/>
      <c r="BK443" s="5"/>
      <c r="BL443" s="5"/>
    </row>
    <row r="444" spans="1:64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5"/>
      <c r="BJ444" s="5"/>
      <c r="BK444" s="5"/>
      <c r="BL444" s="5"/>
    </row>
    <row r="445" spans="1:64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5"/>
      <c r="BJ445" s="5"/>
      <c r="BK445" s="5"/>
      <c r="BL445" s="5"/>
    </row>
    <row r="446" spans="1:64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5"/>
      <c r="BJ446" s="5"/>
      <c r="BK446" s="5"/>
      <c r="BL446" s="5"/>
    </row>
    <row r="447" spans="1:64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5"/>
      <c r="BJ447" s="5"/>
      <c r="BK447" s="5"/>
      <c r="BL447" s="5"/>
    </row>
    <row r="448" spans="1:64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5"/>
      <c r="BJ448" s="5"/>
      <c r="BK448" s="5"/>
      <c r="BL448" s="5"/>
    </row>
    <row r="449" spans="1:64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5"/>
      <c r="BJ449" s="5"/>
      <c r="BK449" s="5"/>
      <c r="BL449" s="5"/>
    </row>
    <row r="450" spans="1:64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5"/>
      <c r="BJ450" s="5"/>
      <c r="BK450" s="5"/>
      <c r="BL450" s="5"/>
    </row>
    <row r="451" spans="1:64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5"/>
      <c r="BJ451" s="5"/>
      <c r="BK451" s="5"/>
      <c r="BL451" s="5"/>
    </row>
  </sheetData>
  <mergeCells count="1">
    <mergeCell ref="E40:N40"/>
  </mergeCells>
  <printOptions horizontalCentered="1" verticalCentered="1"/>
  <pageMargins left="0.24" right="0.1968503937007874" top="0.37" bottom="0.22" header="0.31496062992125984" footer="0"/>
  <pageSetup paperSize="9" orientation="portrait" horizontalDpi="360" verticalDpi="360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2026-08-23T11:25:09Z</dcterms:created>
  <dcterms:modified xsi:type="dcterms:W3CDTF">2026-08-23T11:25:09Z</dcterms:modified>
</cp:coreProperties>
</file>