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100-01" state="visible" r:id="rId4"/>
  </sheets>
  <definedNames>
    <definedName name="_xlnm.Print_Area" localSheetId="0">'K1100-01'!$A1:$R128</definedName>
  </definedNames>
  <calcPr calcId="171027"/>
</workbook>
</file>

<file path=xl/sharedStrings.xml><?xml version="1.0" encoding="utf-8"?>
<sst xmlns="http://schemas.openxmlformats.org/spreadsheetml/2006/main" count="192" uniqueCount="92">
  <si>
    <t>{{companyLogo}}</t>
  </si>
  <si>
    <t xml:space="preserve">     PURCHASE ORDER (원자재 입고 요청서)</t>
  </si>
  <si>
    <t xml:space="preserve">업 체 명 :  </t>
  </si>
  <si>
    <t xml:space="preserve">주    소 :  </t>
  </si>
  <si>
    <t xml:space="preserve">T  E  L  :  </t>
  </si>
  <si>
    <t xml:space="preserve">상     호 </t>
  </si>
  <si>
    <t>{{companyName}}</t>
  </si>
  <si>
    <t xml:space="preserve">F  A  X  :  </t>
  </si>
  <si>
    <t>대     표</t>
  </si>
  <si>
    <t>이 정 훈</t>
  </si>
  <si>
    <t xml:space="preserve">담 당 자 :  </t>
  </si>
  <si>
    <t>주     소</t>
  </si>
  <si>
    <t>경산시 진량읍 선화리 120-3</t>
  </si>
  <si>
    <t xml:space="preserve">작성일자 :  </t>
  </si>
  <si>
    <t>TEL/FAX</t>
  </si>
  <si>
    <t>053) 850-8315 / 850-8398</t>
  </si>
  <si>
    <t xml:space="preserve">납    기 :  </t>
  </si>
  <si>
    <t>담 당 자</t>
  </si>
  <si>
    <t>사공 호정</t>
  </si>
  <si>
    <t xml:space="preserve"> </t>
  </si>
  <si>
    <t>순</t>
  </si>
  <si>
    <t xml:space="preserve">강
종</t>
  </si>
  <si>
    <t>재 종</t>
  </si>
  <si>
    <t>규     격</t>
  </si>
  <si>
    <t xml:space="preserve">BUNDLE
단위
(本/B/D)</t>
  </si>
  <si>
    <t>발주량</t>
  </si>
  <si>
    <t xml:space="preserve">단 가
(\/kg)</t>
  </si>
  <si>
    <t xml:space="preserve">발주금액
(\)</t>
  </si>
  <si>
    <t>용도</t>
  </si>
  <si>
    <t>비  고</t>
  </si>
  <si>
    <t>외경</t>
  </si>
  <si>
    <t>두께</t>
  </si>
  <si>
    <t xml:space="preserve">길이
(m)</t>
  </si>
  <si>
    <t xml:space="preserve">단위당 중량
(kg/m)</t>
  </si>
  <si>
    <t>BUNDLE</t>
  </si>
  <si>
    <t>本</t>
  </si>
  <si>
    <t xml:space="preserve">重量
(kg)</t>
  </si>
  <si>
    <t>HR</t>
  </si>
  <si>
    <t>SPHT2</t>
  </si>
  <si>
    <t>136-GG1-내철</t>
  </si>
  <si>
    <t>SAE 1010</t>
  </si>
  <si>
    <t>STKM 11A</t>
  </si>
  <si>
    <t>POSP440A</t>
  </si>
  <si>
    <t>POSP 340A</t>
  </si>
  <si>
    <t>2팀</t>
  </si>
  <si>
    <t>정수, 동성</t>
  </si>
  <si>
    <t>POSP 440A</t>
  </si>
  <si>
    <t>POSP340A</t>
  </si>
  <si>
    <t>광명</t>
  </si>
  <si>
    <t>동소금속</t>
  </si>
  <si>
    <t>posp 340A</t>
  </si>
  <si>
    <t>경동, 평화</t>
  </si>
  <si>
    <t>STKM13B</t>
  </si>
  <si>
    <t>SAE 1020</t>
  </si>
  <si>
    <t>멀티텍</t>
  </si>
  <si>
    <t>SAE1010</t>
  </si>
  <si>
    <t>동소지정</t>
  </si>
  <si>
    <t>일반</t>
  </si>
  <si>
    <t>내수</t>
  </si>
  <si>
    <t>정수금속</t>
  </si>
  <si>
    <t xml:space="preserve">결
재</t>
  </si>
  <si>
    <t>담 당</t>
  </si>
  <si>
    <t>팀 장</t>
  </si>
  <si>
    <t>사업부장</t>
  </si>
  <si>
    <t>부사장</t>
  </si>
  <si>
    <t>대표이사</t>
  </si>
  <si>
    <t>경동43.5*29.6</t>
  </si>
  <si>
    <t>수출품</t>
  </si>
  <si>
    <t>롤렛</t>
  </si>
  <si>
    <t>750</t>
  </si>
  <si>
    <t>.</t>
  </si>
  <si>
    <t>870</t>
  </si>
  <si>
    <t>LOT종결</t>
  </si>
  <si>
    <t>900</t>
  </si>
  <si>
    <t>수출</t>
  </si>
  <si>
    <t>850</t>
  </si>
  <si>
    <t>직관</t>
  </si>
  <si>
    <t>751</t>
  </si>
  <si>
    <t>동소</t>
  </si>
  <si>
    <t>수출품/   직관</t>
  </si>
  <si>
    <t>T O T A L</t>
  </si>
  <si>
    <t>- 특기사항 -</t>
  </si>
  <si>
    <t>1. 내면비드 Under cut 허용치 : 모재대비 -0.2미만</t>
  </si>
  <si>
    <t>2. 관리공차 O.D :±0.2, T : +0.2,-0 ,비드 +0,-0.15</t>
  </si>
  <si>
    <t xml:space="preserve">3. 부품식별표 반드시 파이프 후단부에 부착할 것. </t>
  </si>
  <si>
    <t>- 기타 -</t>
  </si>
  <si>
    <t>1. 납기 준수 요망</t>
  </si>
  <si>
    <t>2. 결재 조건 : 월 마감후 익월 15일 결재 (마감일 기준 60일)</t>
  </si>
  <si>
    <t>3. 첨부서류 : Mill Sheet, 거래명세서 (Coil 제조 Maker 명기 요망)</t>
  </si>
  <si>
    <t>4. 하차지 : 티에스피 (경북 경산시 진량읍 공단7로 1010)</t>
  </si>
  <si>
    <t>5. 눌림,찍힘,변형없도록 출고검사 철저히 요망. 유해한 흠 없을것.</t>
  </si>
  <si>
    <t>6. 전품목 ECT 적용 생산 요망 (냉접 발생 없을것)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</si>
</sst>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&quot;₩&quot;* #,##0_-;-&quot;₩&quot;* #,##0_-;_-&quot;₩&quot;* &quot;-&quot;_-;_-@_-"/>
    <numFmt numFmtId="165" formatCode="_-* #,##0.0_-;-* #,##0.0_-;_-* &quot;-&quot;_-;_-@_-"/>
    <numFmt numFmtId="166" formatCode="0.00_ "/>
    <numFmt numFmtId="167" formatCode="0.0_ "/>
    <numFmt numFmtId="168" formatCode="_-* #,##0.00_-;-* #,##0.00_-;_-* &quot;-&quot;_-;_-@_-"/>
    <numFmt numFmtId="169" formatCode="_-* #,##0_-;-* #,##0_-;_-* &quot;-&quot;_-;_-@_-"/>
    <numFmt numFmtId="170" formatCode="0_);[Red](0)"/>
    <numFmt numFmtId="171" formatCode="mm&quot;월&quot; dd&quot;일&quot;"/>
    <numFmt numFmtId="172" formatCode="0.00_);[Red](0.00)"/>
  </numFmts>
  <fonts count="8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  <font>
      <charset val="129"/>
      <family val="1"/>
      <sz val="9"/>
      <name val="HY헤드라인M"/>
    </font>
    <font>
      <charset val="129"/>
      <family val="1"/>
      <sz val="11"/>
      <name val="HY헤드라인M"/>
    </font>
    <font>
      <charset val="129"/>
      <family val="1"/>
      <sz val="8"/>
      <name val="HY헤드라인M"/>
    </font>
    <font>
      <charset val="129"/>
      <family val="1"/>
      <sz val="14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5" fontId="5" fillId="0" borderId="12" xfId="0" applyNumberFormat="1" applyFont="1" applyBorder="1" applyAlignment="1">
      <alignment vertical="center"/>
    </xf>
    <xf numFmtId="166" fontId="5" fillId="0" borderId="12" xfId="0" applyNumberFormat="1" applyFont="1" applyBorder="1" applyAlignment="1">
      <alignment vertical="center"/>
    </xf>
    <xf numFmtId="167" fontId="5" fillId="0" borderId="12" xfId="0" applyNumberFormat="1" applyFont="1" applyBorder="1" applyAlignment="1">
      <alignment vertical="center"/>
    </xf>
    <xf numFmtId="168" fontId="3" fillId="0" borderId="12" xfId="0" applyNumberFormat="1" applyFont="1" applyBorder="1" applyAlignment="1">
      <alignment horizontal="center" vertical="center"/>
    </xf>
    <xf numFmtId="169" fontId="5" fillId="0" borderId="12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9" fontId="3" fillId="3" borderId="12" xfId="0" applyNumberFormat="1" applyFont="1" applyFill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5" fontId="5" fillId="0" borderId="15" xfId="0" applyNumberFormat="1" applyFont="1" applyBorder="1" applyAlignment="1">
      <alignment vertical="center"/>
    </xf>
    <xf numFmtId="166" fontId="5" fillId="0" borderId="15" xfId="0" applyNumberFormat="1" applyFont="1" applyBorder="1" applyAlignment="1">
      <alignment vertical="center"/>
    </xf>
    <xf numFmtId="167" fontId="5" fillId="0" borderId="15" xfId="0" applyNumberFormat="1" applyFont="1" applyBorder="1" applyAlignment="1">
      <alignment vertical="center"/>
    </xf>
    <xf numFmtId="168" fontId="3" fillId="0" borderId="15" xfId="0" applyNumberFormat="1" applyFont="1" applyBorder="1" applyAlignment="1">
      <alignment horizontal="center" vertical="center"/>
    </xf>
    <xf numFmtId="169" fontId="5" fillId="0" borderId="15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9" fontId="3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9" fontId="5" fillId="0" borderId="12" xfId="0" applyNumberFormat="1" applyFont="1" applyBorder="1" applyAlignment="1">
      <alignment horizontal="right" vertical="center"/>
    </xf>
    <xf numFmtId="165" fontId="5" fillId="0" borderId="12" xfId="0" applyNumberFormat="1" applyFont="1" applyBorder="1" applyAlignment="1">
      <alignment horizontal="right" vertical="center"/>
    </xf>
    <xf numFmtId="167" fontId="5" fillId="0" borderId="12" xfId="0" applyNumberFormat="1" applyFont="1" applyBorder="1" applyAlignment="1">
      <alignment horizontal="center" vertical="center"/>
    </xf>
    <xf numFmtId="170" fontId="5" fillId="0" borderId="12" xfId="0" applyNumberFormat="1" applyFont="1" applyBorder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171" fontId="4" fillId="0" borderId="13" xfId="0" applyNumberFormat="1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5" fontId="5" fillId="4" borderId="12" xfId="0" applyNumberFormat="1" applyFont="1" applyFill="1" applyBorder="1" applyAlignment="1">
      <alignment vertical="center"/>
    </xf>
    <xf numFmtId="166" fontId="5" fillId="4" borderId="12" xfId="0" applyNumberFormat="1" applyFont="1" applyFill="1" applyBorder="1" applyAlignment="1">
      <alignment vertical="center"/>
    </xf>
    <xf numFmtId="167" fontId="5" fillId="4" borderId="12" xfId="0" applyNumberFormat="1" applyFont="1" applyFill="1" applyBorder="1" applyAlignment="1">
      <alignment vertical="center"/>
    </xf>
    <xf numFmtId="168" fontId="3" fillId="4" borderId="12" xfId="0" applyNumberFormat="1" applyFont="1" applyFill="1" applyBorder="1" applyAlignment="1">
      <alignment horizontal="center" vertical="center"/>
    </xf>
    <xf numFmtId="169" fontId="5" fillId="4" borderId="12" xfId="0" applyNumberFormat="1" applyFont="1" applyFill="1" applyBorder="1" applyAlignment="1">
      <alignment horizontal="center" vertical="center"/>
    </xf>
    <xf numFmtId="169" fontId="5" fillId="4" borderId="12" xfId="0" applyNumberFormat="1" applyFont="1" applyFill="1" applyBorder="1" applyAlignment="1">
      <alignment horizontal="right" vertical="center"/>
    </xf>
    <xf numFmtId="169" fontId="5" fillId="4" borderId="1" xfId="0" applyNumberFormat="1" applyFont="1" applyFill="1" applyBorder="1" applyAlignment="1">
      <alignment horizontal="center" vertical="center"/>
    </xf>
    <xf numFmtId="169" fontId="3" fillId="4" borderId="12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171" fontId="4" fillId="4" borderId="1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165" fontId="5" fillId="4" borderId="1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 wrapText="1"/>
    </xf>
    <xf numFmtId="172" fontId="5" fillId="4" borderId="12" xfId="0" applyNumberFormat="1" applyFont="1" applyFill="1" applyBorder="1" applyAlignment="1">
      <alignment horizontal="center" vertical="center"/>
    </xf>
    <xf numFmtId="169" fontId="3" fillId="4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71" fontId="4" fillId="4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2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3" fillId="4" borderId="12" xfId="0" applyNumberFormat="1" applyFont="1" applyFill="1" applyBorder="1" applyAlignment="1">
      <alignment horizontal="center" vertical="center"/>
    </xf>
    <xf numFmtId="171" fontId="4" fillId="0" borderId="2" xfId="0" applyNumberFormat="1" applyFont="1" applyBorder="1" applyAlignment="1">
      <alignment horizontal="center" vertical="center"/>
    </xf>
    <xf numFmtId="169" fontId="3" fillId="4" borderId="1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5" fillId="4" borderId="1" xfId="0" applyNumberFormat="1" applyFont="1" applyFill="1" applyBorder="1" applyAlignment="1">
      <alignment horizontal="right" vertical="center"/>
    </xf>
    <xf numFmtId="171" fontId="4" fillId="0" borderId="12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right" vertical="center" shrinkToFit="1"/>
    </xf>
    <xf numFmtId="170" fontId="5" fillId="3" borderId="1" xfId="0" applyNumberFormat="1" applyFont="1" applyFill="1" applyBorder="1" applyAlignment="1">
      <alignment horizontal="right" vertical="center" shrinkToFit="1"/>
    </xf>
    <xf numFmtId="166" fontId="5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horizontal="right" vertical="center" shrinkToFit="1"/>
    </xf>
    <xf numFmtId="170" fontId="3" fillId="4" borderId="1" xfId="0" applyNumberFormat="1" applyFont="1" applyFill="1" applyBorder="1" applyAlignment="1">
      <alignment horizontal="right" vertical="center" shrinkToFit="1"/>
    </xf>
    <xf numFmtId="165" fontId="3" fillId="4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9" fontId="3" fillId="0" borderId="19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9" fontId="5" fillId="0" borderId="21" xfId="0" applyNumberFormat="1" applyFont="1" applyBorder="1" applyAlignment="1">
      <alignment horizontal="center" vertical="center"/>
    </xf>
    <xf numFmtId="169" fontId="5" fillId="0" borderId="21" xfId="0" applyNumberFormat="1" applyFont="1" applyBorder="1" applyAlignment="1">
      <alignment horizontal="center" vertical="center" shrinkToFit="1"/>
    </xf>
    <xf numFmtId="169" fontId="5" fillId="0" borderId="22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9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49" fontId="1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169" fontId="5" fillId="0" borderId="0" xfId="0" applyNumberFormat="1" applyFont="1" applyAlignment="1">
      <alignment horizontal="left" vertical="center"/>
    </xf>
    <xf numFmtId="0" fontId="1" fillId="0" borderId="26" xfId="0" applyFont="1" applyBorder="1"/>
    <xf numFmtId="168" fontId="3" fillId="0" borderId="13" xfId="0" applyNumberFormat="1" applyFont="1" applyBorder="1" applyAlignment="1">
      <alignment vertical="center" shrinkToFit="1"/>
    </xf>
    <xf numFmtId="0" fontId="1" fillId="0" borderId="27" xfId="0" applyFont="1" applyBorder="1"/>
    <xf numFmtId="168" fontId="3" fillId="0" borderId="2" xfId="0" applyNumberFormat="1" applyFont="1" applyBorder="1" applyAlignment="1">
      <alignment vertical="center" shrinkToFit="1"/>
    </xf>
    <xf numFmtId="168" fontId="3" fillId="0" borderId="28" xfId="0" applyNumberFormat="1" applyFont="1" applyBorder="1" applyAlignment="1">
      <alignment vertical="center" shrinkToFit="1"/>
    </xf>
    <xf numFmtId="168" fontId="3" fillId="0" borderId="29" xfId="0" applyNumberFormat="1" applyFont="1" applyBorder="1" applyAlignment="1">
      <alignment vertical="center" shrinkToFit="1"/>
    </xf>
    <xf numFmtId="0" fontId="1" fillId="0" borderId="30" xfId="0" applyFont="1" applyBorder="1"/>
    <xf numFmtId="0" fontId="5" fillId="0" borderId="31" xfId="0" applyFont="1" applyBorder="1" applyAlignment="1">
      <alignment horizontal="left" vertical="center"/>
    </xf>
    <xf numFmtId="0" fontId="1" fillId="0" borderId="31" xfId="0" applyFont="1" applyBorder="1"/>
    <xf numFmtId="168" fontId="3" fillId="0" borderId="32" xfId="0" applyNumberFormat="1" applyFont="1" applyBorder="1" applyAlignment="1">
      <alignment vertical="center" shrinkToFit="1"/>
    </xf>
    <xf numFmtId="0" fontId="1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workbookViewId="0" zoomScale="100" zoomScaleNormal="100" view="pageBreakPreview">
      <selection activeCell="W12" sqref="W12"/>
    </sheetView>
  </sheetViews>
  <sheetFormatPr defaultRowHeight="13.5" outlineLevelRow="0" outlineLevelCol="0" x14ac:dyDescent="0" defaultColWidth="5.625" customHeight="1"/>
  <cols>
    <col min="1" max="1" width="2.625" customWidth="1"/>
    <col min="2" max="2" width="3.625" customWidth="1"/>
    <col min="3" max="3" width="5.625" customWidth="1"/>
    <col min="4" max="4" width="7.625" customWidth="1"/>
    <col min="5" max="5" width="6.25" customWidth="1"/>
    <col min="6" max="6" width="5.75" customWidth="1"/>
    <col min="7" max="7" width="9" hidden="1" customWidth="1"/>
    <col min="8" max="8" width="6.625" customWidth="1"/>
    <col min="9" max="11" width="5.75" customWidth="1"/>
    <col min="12" max="12" width="6.625" customWidth="1"/>
    <col min="13" max="15" width="4.625" customWidth="1"/>
    <col min="16" max="16" width="8.5" customWidth="1"/>
    <col min="17" max="17" width="4.625" customWidth="1"/>
    <col min="18" max="18" width="1.625" customWidth="1"/>
    <col min="19" max="19" width="5.75" customWidth="1"/>
    <col min="20" max="24" width="5.625" customWidth="1"/>
    <col min="25" max="29" width="8.625" customWidth="1"/>
  </cols>
  <sheetData>
    <row r="1" ht="7.5" customHeight="1" spans="1:29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1.5" customHeight="1" spans="1:29" x14ac:dyDescent="0.2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31.5" customHeight="1" spans="1:29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0.25" customHeight="1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0.25" customHeight="1" spans="1:29" x14ac:dyDescent="0.25">
      <c r="A5" s="1"/>
      <c r="B5" s="3" t="s">
        <v>2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20.25" customHeight="1" spans="1:29" x14ac:dyDescent="0.25">
      <c r="A6" s="1"/>
      <c r="B6" s="3" t="s">
        <v>3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20.25" customHeight="1" spans="1:29" x14ac:dyDescent="0.25">
      <c r="A7" s="1"/>
      <c r="B7" s="3" t="s">
        <v>4</v>
      </c>
      <c r="C7" s="4"/>
      <c r="D7" s="1"/>
      <c r="E7" s="1"/>
      <c r="F7" s="1"/>
      <c r="G7" s="1"/>
      <c r="H7" s="1"/>
      <c r="I7" s="1"/>
      <c r="J7" s="1"/>
      <c r="K7" s="5" t="s">
        <v>5</v>
      </c>
      <c r="L7" s="5"/>
      <c r="M7" s="6" t="s">
        <v>6</v>
      </c>
      <c r="N7" s="6"/>
      <c r="O7" s="6"/>
      <c r="P7" s="6"/>
      <c r="Q7" s="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20.25" customHeight="1" spans="1:29" x14ac:dyDescent="0.25">
      <c r="A8" s="1"/>
      <c r="B8" s="3" t="s">
        <v>7</v>
      </c>
      <c r="C8" s="4"/>
      <c r="D8" s="1"/>
      <c r="E8" s="1"/>
      <c r="F8" s="1"/>
      <c r="G8" s="1"/>
      <c r="H8" s="1"/>
      <c r="I8" s="1"/>
      <c r="J8" s="1"/>
      <c r="K8" s="5" t="s">
        <v>8</v>
      </c>
      <c r="L8" s="5"/>
      <c r="M8" s="6" t="s">
        <v>9</v>
      </c>
      <c r="N8" s="6"/>
      <c r="O8" s="6"/>
      <c r="P8" s="6"/>
      <c r="Q8" s="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20.25" customHeight="1" spans="1:29" x14ac:dyDescent="0.25">
      <c r="A9" s="1"/>
      <c r="B9" s="3" t="s">
        <v>10</v>
      </c>
      <c r="C9" s="4"/>
      <c r="D9" s="1"/>
      <c r="E9" s="1"/>
      <c r="F9" s="1"/>
      <c r="G9" s="1"/>
      <c r="H9" s="1"/>
      <c r="I9" s="1"/>
      <c r="J9" s="1"/>
      <c r="K9" s="5" t="s">
        <v>11</v>
      </c>
      <c r="L9" s="5"/>
      <c r="M9" s="6" t="s">
        <v>12</v>
      </c>
      <c r="N9" s="6"/>
      <c r="O9" s="6"/>
      <c r="P9" s="6"/>
      <c r="Q9" s="6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20.25" customHeight="1" spans="1:29" x14ac:dyDescent="0.25">
      <c r="A10" s="1"/>
      <c r="B10" s="3" t="s">
        <v>13</v>
      </c>
      <c r="C10" s="4"/>
      <c r="D10" s="7"/>
      <c r="E10" s="1"/>
      <c r="F10" s="1"/>
      <c r="G10" s="1"/>
      <c r="H10" s="1"/>
      <c r="I10" s="1"/>
      <c r="J10" s="1"/>
      <c r="K10" s="5" t="s">
        <v>14</v>
      </c>
      <c r="L10" s="5"/>
      <c r="M10" s="6" t="s">
        <v>15</v>
      </c>
      <c r="N10" s="6"/>
      <c r="O10" s="6"/>
      <c r="P10" s="6"/>
      <c r="Q10" s="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0.25" customHeight="1" spans="1:29" x14ac:dyDescent="0.25">
      <c r="A11" s="1"/>
      <c r="B11" s="3" t="s">
        <v>16</v>
      </c>
      <c r="C11" s="4"/>
      <c r="D11" s="7"/>
      <c r="E11" s="1"/>
      <c r="F11" s="1"/>
      <c r="G11" s="1"/>
      <c r="H11" s="1"/>
      <c r="I11" s="1"/>
      <c r="J11" s="1"/>
      <c r="K11" s="5" t="s">
        <v>17</v>
      </c>
      <c r="L11" s="5"/>
      <c r="M11" s="6" t="s">
        <v>18</v>
      </c>
      <c r="N11" s="6"/>
      <c r="O11" s="6"/>
      <c r="P11" s="6"/>
      <c r="Q11" s="6"/>
      <c r="R11" s="1"/>
      <c r="S11" s="1"/>
      <c r="T11" s="1"/>
      <c r="U11" s="1"/>
      <c r="V11" s="1"/>
      <c r="W11" s="1"/>
      <c r="X11" s="1"/>
      <c r="Y11" s="1"/>
      <c r="Z11" s="7" t="s">
        <v>19</v>
      </c>
      <c r="AA11" s="1"/>
      <c r="AB11" s="1"/>
      <c r="AC11" s="1"/>
    </row>
    <row r="12" ht="17.25" customHeight="1" spans="1:2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4.25" customHeight="1" hidden="1" spans="1:2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2.5" customHeight="1" spans="1:29" x14ac:dyDescent="0.25">
      <c r="A14" s="8" t="s">
        <v>20</v>
      </c>
      <c r="B14" s="9" t="s">
        <v>21</v>
      </c>
      <c r="C14" s="10" t="s">
        <v>22</v>
      </c>
      <c r="D14" s="11" t="s">
        <v>23</v>
      </c>
      <c r="E14" s="11"/>
      <c r="F14" s="11"/>
      <c r="G14" s="11"/>
      <c r="H14" s="12" t="s">
        <v>24</v>
      </c>
      <c r="I14" s="13" t="s">
        <v>25</v>
      </c>
      <c r="J14" s="13"/>
      <c r="K14" s="13"/>
      <c r="L14" s="14" t="s">
        <v>26</v>
      </c>
      <c r="M14" s="15" t="s">
        <v>27</v>
      </c>
      <c r="N14" s="15"/>
      <c r="O14" s="15"/>
      <c r="P14" s="16" t="s">
        <v>28</v>
      </c>
      <c r="Q14" s="11" t="s">
        <v>29</v>
      </c>
      <c r="R14" s="11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30.75" customHeight="1" spans="1:29" x14ac:dyDescent="0.25">
      <c r="A15" s="8"/>
      <c r="B15" s="9"/>
      <c r="C15" s="10"/>
      <c r="D15" s="17" t="s">
        <v>30</v>
      </c>
      <c r="E15" s="17" t="s">
        <v>31</v>
      </c>
      <c r="F15" s="18" t="s">
        <v>32</v>
      </c>
      <c r="G15" s="19" t="s">
        <v>33</v>
      </c>
      <c r="H15" s="12"/>
      <c r="I15" s="17" t="s">
        <v>34</v>
      </c>
      <c r="J15" s="17" t="s">
        <v>35</v>
      </c>
      <c r="K15" s="20" t="s">
        <v>36</v>
      </c>
      <c r="L15" s="14"/>
      <c r="M15" s="15"/>
      <c r="N15" s="15"/>
      <c r="O15" s="15"/>
      <c r="P15" s="16"/>
      <c r="Q15" s="11"/>
      <c r="R15" s="11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30" customHeight="1" hidden="1" spans="1:29" x14ac:dyDescent="0.25">
      <c r="A16" s="21">
        <v>1</v>
      </c>
      <c r="B16" s="22" t="s">
        <v>37</v>
      </c>
      <c r="C16" s="22" t="s">
        <v>38</v>
      </c>
      <c r="D16" s="23">
        <v>27.2</v>
      </c>
      <c r="E16" s="24">
        <v>2.7</v>
      </c>
      <c r="F16" s="25">
        <v>6</v>
      </c>
      <c r="G16" s="26">
        <f t="shared" ref="G16:G79" si="0">SUM(D16-E16)*E16*0.02466</f>
        <v>1.6312590000000002</v>
      </c>
      <c r="H16" s="27">
        <v>169</v>
      </c>
      <c r="I16" s="28"/>
      <c r="J16" s="27">
        <f t="shared" ref="J16:J52" si="1">SUM(H16*I16)</f>
      </c>
      <c r="K16" s="27">
        <f t="shared" ref="K16:K79" si="2">SUM(G16*F16*J16)</f>
      </c>
      <c r="L16" s="29">
        <v>910</v>
      </c>
      <c r="M16" s="29"/>
      <c r="N16" s="29"/>
      <c r="O16" s="30">
        <f>SUM(K16*L16)</f>
      </c>
      <c r="P16" s="31" t="s">
        <v>39</v>
      </c>
      <c r="Q16" s="32"/>
      <c r="R16" s="3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30" customHeight="1" hidden="1" spans="1:29" x14ac:dyDescent="0.25">
      <c r="A17" s="33">
        <v>1</v>
      </c>
      <c r="B17" s="34" t="s">
        <v>37</v>
      </c>
      <c r="C17" s="34" t="s">
        <v>40</v>
      </c>
      <c r="D17" s="35">
        <v>27.2</v>
      </c>
      <c r="E17" s="36">
        <v>3.2</v>
      </c>
      <c r="F17" s="37">
        <v>6</v>
      </c>
      <c r="G17" s="38">
        <f>G16</f>
        <v>1.8938880000000005</v>
      </c>
      <c r="H17" s="39">
        <v>169</v>
      </c>
      <c r="I17" s="40"/>
      <c r="J17" s="39">
        <f>J16</f>
      </c>
      <c r="K17" s="39">
        <f>K16</f>
      </c>
      <c r="L17" s="41">
        <v>1078</v>
      </c>
      <c r="M17" s="41"/>
      <c r="N17" s="41"/>
      <c r="O17" s="41">
        <f>SUM(K17*L17)</f>
      </c>
      <c r="P17" s="42" t="s">
        <v>39</v>
      </c>
      <c r="Q17" s="43"/>
      <c r="R17" s="43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30" customHeight="1" hidden="1" spans="1:29" x14ac:dyDescent="0.25">
      <c r="A18" s="33"/>
      <c r="B18" s="34" t="s">
        <v>37</v>
      </c>
      <c r="C18" s="22" t="s">
        <v>41</v>
      </c>
      <c r="D18" s="35">
        <v>27.2</v>
      </c>
      <c r="E18" s="36">
        <v>3.2</v>
      </c>
      <c r="F18" s="37">
        <v>6</v>
      </c>
      <c r="G18" s="38">
        <f>G16</f>
        <v>1.8938880000000005</v>
      </c>
      <c r="H18" s="39">
        <v>169</v>
      </c>
      <c r="I18" s="40"/>
      <c r="J18" s="39">
        <f>J16</f>
      </c>
      <c r="K18" s="39">
        <f>K16</f>
      </c>
      <c r="L18" s="41"/>
      <c r="M18" s="30"/>
      <c r="N18" s="30"/>
      <c r="O18" s="44">
        <f t="shared" ref="O18:O93" si="3">SUM(K18*L18)</f>
      </c>
      <c r="P18" s="42"/>
      <c r="Q18" s="43"/>
      <c r="R18" s="43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0" customHeight="1" hidden="1" spans="1:29" x14ac:dyDescent="0.25">
      <c r="A19" s="21"/>
      <c r="B19" s="22" t="s">
        <v>37</v>
      </c>
      <c r="C19" s="22" t="s">
        <v>40</v>
      </c>
      <c r="D19" s="23">
        <v>27.2</v>
      </c>
      <c r="E19" s="24">
        <v>4</v>
      </c>
      <c r="F19" s="25">
        <v>6</v>
      </c>
      <c r="G19" s="26">
        <f>G16</f>
        <v>2.2884480000000003</v>
      </c>
      <c r="H19" s="27">
        <v>169</v>
      </c>
      <c r="I19" s="27"/>
      <c r="J19" s="27">
        <f>J16</f>
      </c>
      <c r="K19" s="27">
        <f>K16</f>
      </c>
      <c r="L19" s="30"/>
      <c r="M19" s="30"/>
      <c r="N19" s="30"/>
      <c r="O19" s="44">
        <f>O18</f>
      </c>
      <c r="P19" s="31"/>
      <c r="Q19" s="32"/>
      <c r="R19" s="3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30" customHeight="1" hidden="1" spans="1:29" x14ac:dyDescent="0.25">
      <c r="A20" s="21"/>
      <c r="B20" s="22" t="s">
        <v>37</v>
      </c>
      <c r="C20" s="22" t="s">
        <v>42</v>
      </c>
      <c r="D20" s="23"/>
      <c r="E20" s="24"/>
      <c r="F20" s="25"/>
      <c r="G20" s="26">
        <f>G16</f>
        <v>2.2884480000000003</v>
      </c>
      <c r="H20" s="27"/>
      <c r="I20" s="27"/>
      <c r="J20" s="27">
        <f>J16</f>
      </c>
      <c r="K20" s="27">
        <f>K16</f>
      </c>
      <c r="L20" s="30"/>
      <c r="M20" s="30"/>
      <c r="N20" s="30"/>
      <c r="O20" s="44">
        <f>O18</f>
      </c>
      <c r="P20" s="31"/>
      <c r="Q20" s="45"/>
      <c r="R20" s="4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30" customHeight="1" hidden="1" spans="1:29" x14ac:dyDescent="0.25">
      <c r="A21" s="21"/>
      <c r="B21" s="22" t="s">
        <v>37</v>
      </c>
      <c r="C21" s="22" t="s">
        <v>41</v>
      </c>
      <c r="D21" s="23"/>
      <c r="E21" s="24"/>
      <c r="F21" s="25"/>
      <c r="G21" s="26">
        <f>G16</f>
        <v>2.73726</v>
      </c>
      <c r="H21" s="27"/>
      <c r="I21" s="27"/>
      <c r="J21" s="27">
        <f>J16</f>
      </c>
      <c r="K21" s="27">
        <f>K16</f>
      </c>
      <c r="L21" s="30"/>
      <c r="M21" s="30"/>
      <c r="N21" s="30"/>
      <c r="O21" s="44">
        <f>O18</f>
      </c>
      <c r="P21" s="31"/>
      <c r="Q21" s="45"/>
      <c r="R21" s="4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30" customHeight="1" hidden="1" spans="1:29" x14ac:dyDescent="0.25">
      <c r="A22" s="21"/>
      <c r="B22" s="22" t="s">
        <v>37</v>
      </c>
      <c r="C22" s="22" t="s">
        <v>40</v>
      </c>
      <c r="D22" s="23"/>
      <c r="E22" s="24"/>
      <c r="F22" s="25"/>
      <c r="G22" s="26">
        <f>G16</f>
        <v>2.73726</v>
      </c>
      <c r="H22" s="27"/>
      <c r="I22" s="27"/>
      <c r="J22" s="27">
        <f>J16</f>
      </c>
      <c r="K22" s="27">
        <f>K16</f>
      </c>
      <c r="L22" s="30"/>
      <c r="M22" s="30"/>
      <c r="N22" s="30"/>
      <c r="O22" s="44">
        <f>O18</f>
      </c>
      <c r="P22" s="31"/>
      <c r="Q22" s="45"/>
      <c r="R22" s="4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30" customHeight="1" hidden="1" spans="1:29" x14ac:dyDescent="0.25">
      <c r="A23" s="21"/>
      <c r="B23" s="22" t="s">
        <v>37</v>
      </c>
      <c r="C23" s="22" t="s">
        <v>42</v>
      </c>
      <c r="D23" s="23"/>
      <c r="E23" s="24"/>
      <c r="F23" s="25"/>
      <c r="G23" s="26">
        <f>G16</f>
        <v>2.73726</v>
      </c>
      <c r="H23" s="27"/>
      <c r="I23" s="46"/>
      <c r="J23" s="27">
        <f>J16</f>
      </c>
      <c r="K23" s="27">
        <f>K16</f>
      </c>
      <c r="L23" s="30"/>
      <c r="M23" s="30"/>
      <c r="N23" s="30"/>
      <c r="O23" s="44">
        <f>O18</f>
      </c>
      <c r="P23" s="31"/>
      <c r="Q23" s="32"/>
      <c r="R23" s="3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30" customHeight="1" hidden="1" spans="1:29" x14ac:dyDescent="0.25">
      <c r="A24" s="21"/>
      <c r="B24" s="22" t="s">
        <v>37</v>
      </c>
      <c r="C24" s="22" t="s">
        <v>40</v>
      </c>
      <c r="D24" s="23"/>
      <c r="E24" s="24"/>
      <c r="F24" s="25"/>
      <c r="G24" s="26">
        <f>G16</f>
        <v>2.943171</v>
      </c>
      <c r="H24" s="27"/>
      <c r="I24" s="46"/>
      <c r="J24" s="27">
        <f>J16</f>
      </c>
      <c r="K24" s="27">
        <f>K16</f>
      </c>
      <c r="L24" s="30"/>
      <c r="M24" s="30"/>
      <c r="N24" s="30"/>
      <c r="O24" s="44">
        <f>O18</f>
      </c>
      <c r="P24" s="31"/>
      <c r="Q24" s="32"/>
      <c r="R24" s="3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30" customHeight="1" hidden="1" spans="1:29" x14ac:dyDescent="0.25">
      <c r="A25" s="21"/>
      <c r="B25" s="22" t="s">
        <v>37</v>
      </c>
      <c r="C25" s="22" t="s">
        <v>42</v>
      </c>
      <c r="D25" s="23"/>
      <c r="E25" s="24"/>
      <c r="F25" s="25"/>
      <c r="G25" s="26">
        <f>G16</f>
        <v>2.943171</v>
      </c>
      <c r="H25" s="27"/>
      <c r="I25" s="47"/>
      <c r="J25" s="27">
        <f>J16</f>
      </c>
      <c r="K25" s="27">
        <f>K16</f>
      </c>
      <c r="L25" s="30"/>
      <c r="M25" s="30"/>
      <c r="N25" s="30"/>
      <c r="O25" s="44">
        <f>O18</f>
      </c>
      <c r="P25" s="31"/>
      <c r="Q25" s="32"/>
      <c r="R25" s="3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30" customHeight="1" hidden="1" spans="1:29" x14ac:dyDescent="0.25">
      <c r="A26" s="21"/>
      <c r="B26" s="22" t="s">
        <v>37</v>
      </c>
      <c r="C26" s="22" t="s">
        <v>43</v>
      </c>
      <c r="D26" s="28"/>
      <c r="E26" s="48"/>
      <c r="F26" s="48"/>
      <c r="G26" s="26">
        <f>SUM(D26-E26)*E26*0.02466</f>
        <v>2.4983046</v>
      </c>
      <c r="H26" s="27"/>
      <c r="I26" s="49"/>
      <c r="J26" s="50">
        <f>SUM(H26*I26)</f>
      </c>
      <c r="K26" s="27">
        <f>SUM(G26*F26*J26)</f>
      </c>
      <c r="L26" s="30"/>
      <c r="M26" s="30"/>
      <c r="N26" s="30"/>
      <c r="O26" s="44">
        <f>SUM(K26*L26)</f>
      </c>
      <c r="P26" s="31" t="s">
        <v>44</v>
      </c>
      <c r="Q26" s="51"/>
      <c r="R26" s="5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30" customHeight="1" hidden="1" spans="1:29" x14ac:dyDescent="0.25">
      <c r="A27" s="21"/>
      <c r="B27" s="22" t="s">
        <v>37</v>
      </c>
      <c r="C27" s="22" t="s">
        <v>43</v>
      </c>
      <c r="D27" s="28"/>
      <c r="E27" s="48"/>
      <c r="F27" s="48"/>
      <c r="G27" s="26">
        <f>G16</f>
        <v>3.5757000000000003</v>
      </c>
      <c r="H27" s="27"/>
      <c r="I27" s="49"/>
      <c r="J27" s="50">
        <f>J16</f>
      </c>
      <c r="K27" s="27">
        <f>K16</f>
      </c>
      <c r="L27" s="30"/>
      <c r="M27" s="30"/>
      <c r="N27" s="30"/>
      <c r="O27" s="44">
        <f>O18</f>
      </c>
      <c r="P27" s="31"/>
      <c r="Q27" s="51"/>
      <c r="R27" s="5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30" customHeight="1" hidden="1" spans="1:29" x14ac:dyDescent="0.25">
      <c r="A28" s="21"/>
      <c r="B28" s="22" t="s">
        <v>37</v>
      </c>
      <c r="C28" s="22" t="s">
        <v>43</v>
      </c>
      <c r="D28" s="28"/>
      <c r="E28" s="48"/>
      <c r="F28" s="48"/>
      <c r="G28" s="26">
        <f>G16</f>
        <v>3.8654550000000003</v>
      </c>
      <c r="H28" s="27"/>
      <c r="I28" s="49"/>
      <c r="J28" s="50">
        <f>J16</f>
      </c>
      <c r="K28" s="27">
        <f>K16</f>
      </c>
      <c r="L28" s="30"/>
      <c r="M28" s="30"/>
      <c r="N28" s="30"/>
      <c r="O28" s="44">
        <f>O18</f>
      </c>
      <c r="P28" s="31"/>
      <c r="Q28" s="51" t="s">
        <v>45</v>
      </c>
      <c r="R28" s="5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0.1" customHeight="1" hidden="1" spans="1:29" x14ac:dyDescent="0.25">
      <c r="A29" s="21"/>
      <c r="B29" s="22" t="s">
        <v>37</v>
      </c>
      <c r="C29" s="22" t="s">
        <v>46</v>
      </c>
      <c r="D29" s="28"/>
      <c r="E29" s="48"/>
      <c r="F29" s="48"/>
      <c r="G29" s="26">
        <f>G16</f>
        <v>3.8654550000000003</v>
      </c>
      <c r="H29" s="27"/>
      <c r="I29" s="49"/>
      <c r="J29" s="50">
        <f>J16</f>
      </c>
      <c r="K29" s="27">
        <f>K16</f>
      </c>
      <c r="L29" s="30"/>
      <c r="M29" s="30"/>
      <c r="N29" s="30"/>
      <c r="O29" s="44">
        <f>O18</f>
      </c>
      <c r="P29" s="31"/>
      <c r="Q29" s="51"/>
      <c r="R29" s="5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20.1" customHeight="1" hidden="1" spans="1:29" x14ac:dyDescent="0.25">
      <c r="A30" s="21"/>
      <c r="B30" s="22" t="s">
        <v>37</v>
      </c>
      <c r="C30" s="22" t="s">
        <v>47</v>
      </c>
      <c r="D30" s="28"/>
      <c r="E30" s="48"/>
      <c r="F30" s="48"/>
      <c r="G30" s="26">
        <f>G16</f>
        <v>4.5611136</v>
      </c>
      <c r="H30" s="27"/>
      <c r="I30" s="52"/>
      <c r="J30" s="50">
        <f>J16</f>
      </c>
      <c r="K30" s="50">
        <f>K16</f>
      </c>
      <c r="L30" s="44"/>
      <c r="M30" s="44"/>
      <c r="N30" s="44"/>
      <c r="O30" s="44">
        <f>O18</f>
      </c>
      <c r="P30" s="53" t="s">
        <v>48</v>
      </c>
      <c r="Q30" s="54"/>
      <c r="R30" s="5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26.25" customHeight="1" hidden="1" spans="1:29" x14ac:dyDescent="0.25">
      <c r="A31" s="21"/>
      <c r="B31" s="22" t="s">
        <v>37</v>
      </c>
      <c r="C31" s="22" t="s">
        <v>46</v>
      </c>
      <c r="D31" s="28"/>
      <c r="E31" s="48"/>
      <c r="F31" s="48"/>
      <c r="G31" s="26">
        <f>G16</f>
        <v>4.5611136</v>
      </c>
      <c r="H31" s="27"/>
      <c r="I31" s="52"/>
      <c r="J31" s="50">
        <f>J16</f>
      </c>
      <c r="K31" s="50">
        <f>K16</f>
      </c>
      <c r="L31" s="44"/>
      <c r="M31" s="44"/>
      <c r="N31" s="44"/>
      <c r="O31" s="44">
        <f>O18</f>
      </c>
      <c r="P31" s="53" t="s">
        <v>49</v>
      </c>
      <c r="Q31" s="54"/>
      <c r="R31" s="5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20.1" customHeight="1" hidden="1" spans="1:29" x14ac:dyDescent="0.25">
      <c r="A32" s="21"/>
      <c r="B32" s="22" t="s">
        <v>37</v>
      </c>
      <c r="C32" s="22" t="s">
        <v>50</v>
      </c>
      <c r="D32" s="28"/>
      <c r="E32" s="48"/>
      <c r="F32" s="48"/>
      <c r="G32" s="26">
        <f>G16</f>
        <v>5.0395176</v>
      </c>
      <c r="H32" s="27"/>
      <c r="I32" s="52"/>
      <c r="J32" s="50">
        <f>J16</f>
      </c>
      <c r="K32" s="50">
        <f>K16</f>
      </c>
      <c r="L32" s="44"/>
      <c r="M32" s="44"/>
      <c r="N32" s="44"/>
      <c r="O32" s="44">
        <f>O18</f>
      </c>
      <c r="P32" s="53"/>
      <c r="Q32" s="54" t="s">
        <v>51</v>
      </c>
      <c r="R32" s="5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20.1" customHeight="1" hidden="1" spans="1:29" x14ac:dyDescent="0.25">
      <c r="A33" s="21"/>
      <c r="B33" s="22" t="s">
        <v>37</v>
      </c>
      <c r="C33" s="22" t="s">
        <v>41</v>
      </c>
      <c r="D33" s="23"/>
      <c r="E33" s="24"/>
      <c r="F33" s="25"/>
      <c r="G33" s="26">
        <f>G16</f>
        <v>1.4697360000000002</v>
      </c>
      <c r="H33" s="27"/>
      <c r="I33" s="46"/>
      <c r="J33" s="50">
        <f>J16</f>
      </c>
      <c r="K33" s="27">
        <f>K16</f>
      </c>
      <c r="L33" s="30"/>
      <c r="M33" s="30"/>
      <c r="N33" s="30"/>
      <c r="O33" s="44">
        <f>O18</f>
      </c>
      <c r="P33" s="31"/>
      <c r="Q33" s="32"/>
      <c r="R33" s="3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20.1" customHeight="1" hidden="1" spans="1:29" x14ac:dyDescent="0.25">
      <c r="A34" s="21"/>
      <c r="B34" s="22" t="s">
        <v>37</v>
      </c>
      <c r="C34" s="22" t="s">
        <v>42</v>
      </c>
      <c r="D34" s="23"/>
      <c r="E34" s="24"/>
      <c r="F34" s="25"/>
      <c r="G34" s="26">
        <f>G16</f>
        <v>3.8173680000000005</v>
      </c>
      <c r="H34" s="27"/>
      <c r="I34" s="46"/>
      <c r="J34" s="50">
        <f>J16</f>
      </c>
      <c r="K34" s="27">
        <f>K16</f>
      </c>
      <c r="L34" s="30"/>
      <c r="M34" s="30"/>
      <c r="N34" s="30"/>
      <c r="O34" s="44">
        <f>O18</f>
      </c>
      <c r="P34" s="31"/>
      <c r="Q34" s="32"/>
      <c r="R34" s="3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20.1" customHeight="1" hidden="1" spans="1:29" x14ac:dyDescent="0.25">
      <c r="A35" s="21"/>
      <c r="B35" s="22" t="s">
        <v>37</v>
      </c>
      <c r="C35" s="22" t="s">
        <v>52</v>
      </c>
      <c r="D35" s="23"/>
      <c r="E35" s="24"/>
      <c r="F35" s="25"/>
      <c r="G35" s="26">
        <f>G16</f>
        <v>2.6987904</v>
      </c>
      <c r="H35" s="27"/>
      <c r="I35" s="46"/>
      <c r="J35" s="50">
        <f>J16</f>
      </c>
      <c r="K35" s="27">
        <f>K16</f>
      </c>
      <c r="L35" s="30"/>
      <c r="M35" s="30"/>
      <c r="N35" s="30"/>
      <c r="O35" s="44">
        <f>O18</f>
      </c>
      <c r="P35" s="31"/>
      <c r="Q35" s="55"/>
      <c r="R35" s="5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20.1" customHeight="1" hidden="1" spans="1:29" x14ac:dyDescent="0.25">
      <c r="A36" s="56"/>
      <c r="B36" s="57" t="s">
        <v>37</v>
      </c>
      <c r="C36" s="57" t="s">
        <v>53</v>
      </c>
      <c r="D36" s="58"/>
      <c r="E36" s="59"/>
      <c r="F36" s="60"/>
      <c r="G36" s="61">
        <f>G16</f>
        <v>3.5757000000000003</v>
      </c>
      <c r="H36" s="62"/>
      <c r="I36" s="63"/>
      <c r="J36" s="64">
        <f>J16</f>
      </c>
      <c r="K36" s="62">
        <f>K16</f>
      </c>
      <c r="L36" s="65"/>
      <c r="M36" s="65"/>
      <c r="N36" s="65"/>
      <c r="O36" s="66">
        <f>O18</f>
      </c>
      <c r="P36" s="67"/>
      <c r="Q36" s="68" t="s">
        <v>54</v>
      </c>
      <c r="R36" s="6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20.1" customHeight="1" hidden="1" spans="1:29" x14ac:dyDescent="0.25">
      <c r="A37" s="56"/>
      <c r="B37" s="57" t="s">
        <v>37</v>
      </c>
      <c r="C37" s="57" t="s">
        <v>53</v>
      </c>
      <c r="D37" s="58"/>
      <c r="E37" s="59"/>
      <c r="F37" s="60"/>
      <c r="G37" s="61">
        <f>G16</f>
        <v>3.5757000000000003</v>
      </c>
      <c r="H37" s="62"/>
      <c r="I37" s="63"/>
      <c r="J37" s="64">
        <f>J16</f>
      </c>
      <c r="K37" s="62">
        <f>K16</f>
      </c>
      <c r="L37" s="65"/>
      <c r="M37" s="65"/>
      <c r="N37" s="65"/>
      <c r="O37" s="66">
        <f>O18</f>
      </c>
      <c r="P37" s="69"/>
      <c r="Q37" s="68"/>
      <c r="R37" s="68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20.1" customHeight="1" hidden="1" spans="1:29" x14ac:dyDescent="0.25">
      <c r="A38" s="56"/>
      <c r="B38" s="57" t="s">
        <v>37</v>
      </c>
      <c r="C38" s="57" t="s">
        <v>40</v>
      </c>
      <c r="D38" s="58"/>
      <c r="E38" s="59"/>
      <c r="F38" s="60"/>
      <c r="G38" s="61">
        <f>G16</f>
        <v>3.8654550000000003</v>
      </c>
      <c r="H38" s="62"/>
      <c r="I38" s="63"/>
      <c r="J38" s="64">
        <f>J16</f>
      </c>
      <c r="K38" s="62">
        <f>K16</f>
      </c>
      <c r="L38" s="65"/>
      <c r="M38" s="65"/>
      <c r="N38" s="65"/>
      <c r="O38" s="66">
        <f>O18</f>
      </c>
      <c r="P38" s="69"/>
      <c r="Q38" s="70"/>
      <c r="R38" s="70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20.1" customHeight="1" hidden="1" spans="1:29" x14ac:dyDescent="0.25">
      <c r="A39" s="56"/>
      <c r="B39" s="57" t="s">
        <v>37</v>
      </c>
      <c r="C39" s="57" t="s">
        <v>53</v>
      </c>
      <c r="D39" s="58"/>
      <c r="E39" s="59"/>
      <c r="F39" s="60"/>
      <c r="G39" s="61">
        <f>G16</f>
        <v>3.8654550000000003</v>
      </c>
      <c r="H39" s="62"/>
      <c r="I39" s="63"/>
      <c r="J39" s="64">
        <f>J16</f>
      </c>
      <c r="K39" s="62">
        <f>K16</f>
      </c>
      <c r="L39" s="65"/>
      <c r="M39" s="65"/>
      <c r="N39" s="65"/>
      <c r="O39" s="66">
        <f>O18</f>
      </c>
      <c r="P39" s="69"/>
      <c r="Q39" s="70"/>
      <c r="R39" s="70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20.1" customHeight="1" hidden="1" spans="1:29" x14ac:dyDescent="0.25">
      <c r="A40" s="56"/>
      <c r="B40" s="57" t="s">
        <v>37</v>
      </c>
      <c r="C40" s="57" t="s">
        <v>42</v>
      </c>
      <c r="D40" s="58"/>
      <c r="E40" s="59"/>
      <c r="F40" s="60"/>
      <c r="G40" s="61">
        <f>G16</f>
        <v>4.192200000000001</v>
      </c>
      <c r="H40" s="62"/>
      <c r="I40" s="63"/>
      <c r="J40" s="64">
        <f>J16</f>
      </c>
      <c r="K40" s="62">
        <f>K16</f>
      </c>
      <c r="L40" s="65"/>
      <c r="M40" s="65"/>
      <c r="N40" s="65"/>
      <c r="O40" s="66">
        <f>O18</f>
      </c>
      <c r="P40" s="69"/>
      <c r="Q40" s="70"/>
      <c r="R40" s="70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20.1" customHeight="1" hidden="1" spans="1:29" x14ac:dyDescent="0.25">
      <c r="A41" s="71"/>
      <c r="B41" s="57" t="s">
        <v>37</v>
      </c>
      <c r="C41" s="57" t="s">
        <v>55</v>
      </c>
      <c r="D41" s="72"/>
      <c r="E41" s="59"/>
      <c r="F41" s="60"/>
      <c r="G41" s="61">
        <f>G16</f>
        <v>3.5757000000000003</v>
      </c>
      <c r="H41" s="62"/>
      <c r="I41" s="63"/>
      <c r="J41" s="64">
        <f>J16</f>
      </c>
      <c r="K41" s="62">
        <f>K16</f>
      </c>
      <c r="L41" s="65"/>
      <c r="M41" s="65"/>
      <c r="N41" s="65"/>
      <c r="O41" s="66">
        <f>O18</f>
      </c>
      <c r="P41" s="69"/>
      <c r="Q41" s="68"/>
      <c r="R41" s="6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20.1" customHeight="1" hidden="1" spans="1:29" x14ac:dyDescent="0.25">
      <c r="A42" s="56"/>
      <c r="B42" s="57" t="s">
        <v>37</v>
      </c>
      <c r="C42" s="57" t="s">
        <v>46</v>
      </c>
      <c r="D42" s="58"/>
      <c r="E42" s="59"/>
      <c r="F42" s="60"/>
      <c r="G42" s="61">
        <f>G16</f>
        <v>4.5611136</v>
      </c>
      <c r="H42" s="62"/>
      <c r="I42" s="63"/>
      <c r="J42" s="64">
        <f>J16</f>
      </c>
      <c r="K42" s="62">
        <f>K16</f>
      </c>
      <c r="L42" s="65"/>
      <c r="M42" s="65"/>
      <c r="N42" s="65"/>
      <c r="O42" s="66">
        <f>O18</f>
      </c>
      <c r="P42" s="69" t="s">
        <v>56</v>
      </c>
      <c r="Q42" s="73" t="s">
        <v>57</v>
      </c>
      <c r="R42" s="73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20.1" customHeight="1" hidden="1" spans="1:29" x14ac:dyDescent="0.25">
      <c r="A43" s="56"/>
      <c r="B43" s="57" t="s">
        <v>37</v>
      </c>
      <c r="C43" s="57" t="s">
        <v>40</v>
      </c>
      <c r="D43" s="58"/>
      <c r="E43" s="59"/>
      <c r="F43" s="60"/>
      <c r="G43" s="61">
        <f>G16</f>
        <v>4.5611136</v>
      </c>
      <c r="H43" s="62"/>
      <c r="I43" s="63"/>
      <c r="J43" s="64">
        <f>J16</f>
      </c>
      <c r="K43" s="62">
        <f>K16</f>
      </c>
      <c r="L43" s="65"/>
      <c r="M43" s="65"/>
      <c r="N43" s="65"/>
      <c r="O43" s="66">
        <f>O18</f>
      </c>
      <c r="P43" s="69"/>
      <c r="Q43" s="73"/>
      <c r="R43" s="73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20.1" customHeight="1" hidden="1" spans="1:29" x14ac:dyDescent="0.25">
      <c r="A44" s="56"/>
      <c r="B44" s="57" t="s">
        <v>37</v>
      </c>
      <c r="C44" s="57" t="s">
        <v>47</v>
      </c>
      <c r="D44" s="58"/>
      <c r="E44" s="59"/>
      <c r="F44" s="60"/>
      <c r="G44" s="61">
        <f>G16</f>
        <v>4.8064806</v>
      </c>
      <c r="H44" s="62"/>
      <c r="I44" s="63"/>
      <c r="J44" s="64">
        <f>J16</f>
      </c>
      <c r="K44" s="62">
        <f>K16</f>
      </c>
      <c r="L44" s="65"/>
      <c r="M44" s="65"/>
      <c r="N44" s="65"/>
      <c r="O44" s="66">
        <f>O18</f>
      </c>
      <c r="P44" s="69"/>
      <c r="Q44" s="73"/>
      <c r="R44" s="73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20.1" customHeight="1" hidden="1" spans="1:29" x14ac:dyDescent="0.25">
      <c r="A45" s="56"/>
      <c r="B45" s="57" t="s">
        <v>37</v>
      </c>
      <c r="C45" s="57" t="s">
        <v>47</v>
      </c>
      <c r="D45" s="58"/>
      <c r="E45" s="59"/>
      <c r="F45" s="60"/>
      <c r="G45" s="61">
        <f>G16</f>
        <v>4.901175</v>
      </c>
      <c r="H45" s="62"/>
      <c r="I45" s="63"/>
      <c r="J45" s="64">
        <f>J16</f>
      </c>
      <c r="K45" s="62">
        <f>K16</f>
      </c>
      <c r="L45" s="65"/>
      <c r="M45" s="65"/>
      <c r="N45" s="65"/>
      <c r="O45" s="66">
        <f>O18</f>
      </c>
      <c r="P45" s="69"/>
      <c r="Q45" s="73"/>
      <c r="R45" s="73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20.1" customHeight="1" hidden="1" spans="1:29" x14ac:dyDescent="0.25">
      <c r="A46" s="56"/>
      <c r="B46" s="57" t="s">
        <v>37</v>
      </c>
      <c r="C46" s="57" t="s">
        <v>47</v>
      </c>
      <c r="D46" s="58"/>
      <c r="E46" s="59"/>
      <c r="F46" s="60"/>
      <c r="G46" s="61">
        <f>SUM(D46-E46)*E46*0.02466</f>
        <v>5.0395176</v>
      </c>
      <c r="H46" s="62"/>
      <c r="I46" s="63"/>
      <c r="J46" s="64">
        <f>SUM(H46*I46)</f>
      </c>
      <c r="K46" s="62">
        <f>SUM(G46*F46*J46)</f>
      </c>
      <c r="L46" s="65"/>
      <c r="M46" s="65"/>
      <c r="N46" s="65"/>
      <c r="O46" s="66">
        <f>SUM(K46*L46)</f>
      </c>
      <c r="P46" s="69" t="s">
        <v>58</v>
      </c>
      <c r="Q46" s="73"/>
      <c r="R46" s="73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20.1" customHeight="1" hidden="1" spans="1:29" x14ac:dyDescent="0.25">
      <c r="A47" s="71"/>
      <c r="B47" s="57" t="s">
        <v>37</v>
      </c>
      <c r="C47" s="57" t="s">
        <v>42</v>
      </c>
      <c r="D47" s="72"/>
      <c r="E47" s="59"/>
      <c r="F47" s="60"/>
      <c r="G47" s="61">
        <f>G16</f>
        <v>3.5757000000000003</v>
      </c>
      <c r="H47" s="62"/>
      <c r="I47" s="63"/>
      <c r="J47" s="64">
        <f>J16</f>
      </c>
      <c r="K47" s="62">
        <f>K16</f>
      </c>
      <c r="L47" s="65"/>
      <c r="M47" s="65"/>
      <c r="N47" s="65"/>
      <c r="O47" s="66">
        <f>O18</f>
      </c>
      <c r="P47" s="69"/>
      <c r="Q47" s="70"/>
      <c r="R47" s="70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20.1" customHeight="1" hidden="1" spans="1:29" x14ac:dyDescent="0.25">
      <c r="A48" s="71"/>
      <c r="B48" s="57" t="s">
        <v>37</v>
      </c>
      <c r="C48" s="57" t="s">
        <v>47</v>
      </c>
      <c r="D48" s="58"/>
      <c r="E48" s="59"/>
      <c r="F48" s="60"/>
      <c r="G48" s="61">
        <f>G16</f>
        <v>3.9416544000000004</v>
      </c>
      <c r="H48" s="62"/>
      <c r="I48" s="63"/>
      <c r="J48" s="64">
        <f>J16</f>
      </c>
      <c r="K48" s="62">
        <f>K16</f>
      </c>
      <c r="L48" s="65"/>
      <c r="M48" s="65"/>
      <c r="N48" s="65"/>
      <c r="O48" s="66">
        <f>O18</f>
      </c>
      <c r="P48" s="69"/>
      <c r="Q48" s="70"/>
      <c r="R48" s="70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20.1" customHeight="1" hidden="1" spans="1:29" x14ac:dyDescent="0.25">
      <c r="A49" s="71"/>
      <c r="B49" s="57" t="s">
        <v>37</v>
      </c>
      <c r="C49" s="57" t="s">
        <v>47</v>
      </c>
      <c r="D49" s="58"/>
      <c r="E49" s="59"/>
      <c r="F49" s="60"/>
      <c r="G49" s="61">
        <f>G16</f>
        <v>5.427666</v>
      </c>
      <c r="H49" s="62"/>
      <c r="I49" s="63"/>
      <c r="J49" s="64">
        <f>SUM(H49*I49)</f>
      </c>
      <c r="K49" s="62">
        <f>K16</f>
      </c>
      <c r="L49" s="65"/>
      <c r="M49" s="65"/>
      <c r="N49" s="65"/>
      <c r="O49" s="66">
        <f>SUM(K49*L49)</f>
      </c>
      <c r="P49" s="69"/>
      <c r="Q49" s="70"/>
      <c r="R49" s="70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20.1" customHeight="1" hidden="1" spans="1:29" x14ac:dyDescent="0.25">
      <c r="A50" s="71"/>
      <c r="B50" s="57" t="s">
        <v>37</v>
      </c>
      <c r="C50" s="57" t="s">
        <v>47</v>
      </c>
      <c r="D50" s="58"/>
      <c r="E50" s="59"/>
      <c r="F50" s="60"/>
      <c r="G50" s="61">
        <f>G16</f>
        <v>5.427666</v>
      </c>
      <c r="H50" s="62"/>
      <c r="I50" s="63"/>
      <c r="J50" s="64">
        <f>J16</f>
      </c>
      <c r="K50" s="62">
        <f>K16</f>
      </c>
      <c r="L50" s="65"/>
      <c r="M50" s="65"/>
      <c r="N50" s="65"/>
      <c r="O50" s="66">
        <f>O18</f>
      </c>
      <c r="P50" s="69"/>
      <c r="Q50" s="70"/>
      <c r="R50" s="70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20.1" customHeight="1" hidden="1" spans="1:29" x14ac:dyDescent="0.25">
      <c r="A51" s="71"/>
      <c r="B51" s="57" t="s">
        <v>37</v>
      </c>
      <c r="C51" s="57" t="s">
        <v>42</v>
      </c>
      <c r="D51" s="58"/>
      <c r="E51" s="59"/>
      <c r="F51" s="60"/>
      <c r="G51" s="61">
        <f>G16</f>
        <v>3.363624</v>
      </c>
      <c r="H51" s="62"/>
      <c r="I51" s="63"/>
      <c r="J51" s="64">
        <f>J16</f>
      </c>
      <c r="K51" s="62">
        <f>K16</f>
      </c>
      <c r="L51" s="65"/>
      <c r="M51" s="65"/>
      <c r="N51" s="65"/>
      <c r="O51" s="66">
        <f>O18</f>
      </c>
      <c r="P51" s="69"/>
      <c r="Q51" s="70"/>
      <c r="R51" s="70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20.1" customHeight="1" hidden="1" spans="1:29" x14ac:dyDescent="0.25">
      <c r="A52" s="71"/>
      <c r="B52" s="57" t="s">
        <v>37</v>
      </c>
      <c r="C52" s="57" t="s">
        <v>42</v>
      </c>
      <c r="D52" s="58"/>
      <c r="E52" s="59"/>
      <c r="F52" s="60"/>
      <c r="G52" s="61">
        <f>G16</f>
        <v>5.772412800000001</v>
      </c>
      <c r="H52" s="62"/>
      <c r="I52" s="63"/>
      <c r="J52" s="64">
        <f>J16</f>
      </c>
      <c r="K52" s="62">
        <f>K16</f>
      </c>
      <c r="L52" s="65"/>
      <c r="M52" s="65"/>
      <c r="N52" s="65"/>
      <c r="O52" s="66">
        <f>O18</f>
      </c>
      <c r="P52" s="69"/>
      <c r="Q52" s="70"/>
      <c r="R52" s="70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20.1" customHeight="1" hidden="1" spans="1:29" x14ac:dyDescent="0.25">
      <c r="A53" s="71"/>
      <c r="B53" s="57" t="s">
        <v>37</v>
      </c>
      <c r="C53" s="57" t="s">
        <v>42</v>
      </c>
      <c r="D53" s="72"/>
      <c r="E53" s="59"/>
      <c r="F53" s="60"/>
      <c r="G53" s="61">
        <f>G16</f>
        <v>4.421538000000001</v>
      </c>
      <c r="H53" s="62"/>
      <c r="I53" s="63"/>
      <c r="J53" s="64">
        <f t="shared" ref="J53:J91" si="4">SUM(H53*I53)</f>
      </c>
      <c r="K53" s="62">
        <f>K16</f>
      </c>
      <c r="L53" s="65"/>
      <c r="M53" s="65"/>
      <c r="N53" s="65"/>
      <c r="O53" s="66">
        <f>O18</f>
      </c>
      <c r="P53" s="69" t="s">
        <v>59</v>
      </c>
      <c r="Q53" s="70"/>
      <c r="R53" s="70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29.25" customHeight="1" spans="1:29" x14ac:dyDescent="0.25">
      <c r="A54" s="71"/>
      <c r="B54" s="57"/>
      <c r="C54" s="57"/>
      <c r="D54" s="72"/>
      <c r="E54" s="59"/>
      <c r="F54" s="74"/>
      <c r="G54" s="61">
        <f>SUM(D54-E54)*E54*0.02466</f>
      </c>
      <c r="H54" s="62"/>
      <c r="I54" s="63"/>
      <c r="J54" s="64">
        <f>SUM(H54*I54)</f>
      </c>
      <c r="K54" s="62">
        <f>SUM(G54*F54*J54)</f>
      </c>
      <c r="L54" s="65"/>
      <c r="M54" s="75">
        <f>SUM(K54*L54)</f>
      </c>
      <c r="N54" s="75"/>
      <c r="O54" s="75"/>
      <c r="P54" s="69"/>
      <c r="Q54" s="70"/>
      <c r="R54" s="70"/>
      <c r="S54" s="1"/>
      <c r="T54" s="1"/>
      <c r="U54" s="1"/>
      <c r="V54" s="1"/>
      <c r="W54" s="1"/>
      <c r="X54" s="76" t="s">
        <v>60</v>
      </c>
      <c r="Y54" s="77" t="s">
        <v>61</v>
      </c>
      <c r="Z54" s="77" t="s">
        <v>62</v>
      </c>
      <c r="AA54" s="77" t="s">
        <v>63</v>
      </c>
      <c r="AB54" s="77" t="s">
        <v>64</v>
      </c>
      <c r="AC54" s="77" t="s">
        <v>65</v>
      </c>
    </row>
    <row r="55" ht="20.1" customHeight="1" hidden="1" spans="1:29" x14ac:dyDescent="0.25">
      <c r="A55" s="71"/>
      <c r="B55" s="57"/>
      <c r="C55" s="57"/>
      <c r="D55" s="58"/>
      <c r="E55" s="59"/>
      <c r="F55" s="74"/>
      <c r="G55" s="61">
        <f>G16</f>
      </c>
      <c r="H55" s="62"/>
      <c r="I55" s="63"/>
      <c r="J55" s="64">
        <f>J53</f>
      </c>
      <c r="K55" s="62">
        <f>K16</f>
      </c>
      <c r="L55" s="65"/>
      <c r="M55" s="65"/>
      <c r="N55" s="65"/>
      <c r="O55" s="66">
        <f>O18</f>
      </c>
      <c r="P55" s="69"/>
      <c r="Q55" s="68"/>
      <c r="R55" s="68"/>
      <c r="S55" s="1"/>
      <c r="T55" s="1"/>
      <c r="U55" s="1"/>
      <c r="V55" s="1"/>
      <c r="W55" s="1"/>
      <c r="X55" s="76"/>
      <c r="Y55" s="78"/>
      <c r="Z55" s="78"/>
      <c r="AA55" s="78"/>
      <c r="AB55" s="78"/>
      <c r="AC55" s="78"/>
    </row>
    <row r="56" ht="20.1" customHeight="1" hidden="1" spans="1:29" x14ac:dyDescent="0.25">
      <c r="A56" s="71"/>
      <c r="B56" s="57"/>
      <c r="C56" s="57"/>
      <c r="D56" s="58"/>
      <c r="E56" s="59"/>
      <c r="F56" s="74"/>
      <c r="G56" s="61">
        <f>G16</f>
      </c>
      <c r="H56" s="62"/>
      <c r="I56" s="63"/>
      <c r="J56" s="64">
        <f>J53</f>
      </c>
      <c r="K56" s="62">
        <f>K16</f>
      </c>
      <c r="L56" s="65"/>
      <c r="M56" s="65"/>
      <c r="N56" s="65"/>
      <c r="O56" s="66">
        <f>O18</f>
      </c>
      <c r="P56" s="67" t="s">
        <v>49</v>
      </c>
      <c r="Q56" s="68"/>
      <c r="R56" s="68"/>
      <c r="S56" s="1"/>
      <c r="T56" s="1"/>
      <c r="U56" s="1"/>
      <c r="V56" s="1"/>
      <c r="W56" s="1"/>
      <c r="X56" s="76"/>
      <c r="Y56" s="78"/>
      <c r="Z56" s="78"/>
      <c r="AA56" s="78"/>
      <c r="AB56" s="78"/>
      <c r="AC56" s="78"/>
    </row>
    <row r="57" ht="20.1" customHeight="1" hidden="1" spans="1:29" x14ac:dyDescent="0.25">
      <c r="A57" s="71"/>
      <c r="B57" s="57"/>
      <c r="C57" s="57"/>
      <c r="D57" s="58"/>
      <c r="E57" s="59"/>
      <c r="F57" s="74"/>
      <c r="G57" s="61">
        <f>G16</f>
      </c>
      <c r="H57" s="62"/>
      <c r="I57" s="63"/>
      <c r="J57" s="64">
        <f>J53</f>
      </c>
      <c r="K57" s="62">
        <f>K16</f>
      </c>
      <c r="L57" s="65"/>
      <c r="M57" s="65"/>
      <c r="N57" s="65"/>
      <c r="O57" s="66">
        <f>O18</f>
      </c>
      <c r="P57" s="69"/>
      <c r="Q57" s="79"/>
      <c r="R57" s="79"/>
      <c r="S57" s="1"/>
      <c r="T57" s="1"/>
      <c r="U57" s="1"/>
      <c r="V57" s="1"/>
      <c r="W57" s="1"/>
      <c r="X57" s="76"/>
      <c r="Y57" s="78"/>
      <c r="Z57" s="78"/>
      <c r="AA57" s="78"/>
      <c r="AB57" s="78"/>
      <c r="AC57" s="78"/>
    </row>
    <row r="58" ht="20.1" customHeight="1" hidden="1" spans="1:29" x14ac:dyDescent="0.25">
      <c r="A58" s="71"/>
      <c r="B58" s="57"/>
      <c r="C58" s="57"/>
      <c r="D58" s="72"/>
      <c r="E58" s="59"/>
      <c r="F58" s="74"/>
      <c r="G58" s="61">
        <f>G16</f>
      </c>
      <c r="H58" s="62"/>
      <c r="I58" s="63"/>
      <c r="J58" s="64">
        <f>J53</f>
      </c>
      <c r="K58" s="62">
        <f>K16</f>
      </c>
      <c r="L58" s="65"/>
      <c r="M58" s="65"/>
      <c r="N58" s="65"/>
      <c r="O58" s="66">
        <f>O18</f>
      </c>
      <c r="P58" s="69"/>
      <c r="Q58" s="70"/>
      <c r="R58" s="70"/>
      <c r="S58" s="1"/>
      <c r="T58" s="1"/>
      <c r="U58" s="1"/>
      <c r="V58" s="1"/>
      <c r="W58" s="1"/>
      <c r="X58" s="76"/>
      <c r="Y58" s="78"/>
      <c r="Z58" s="78"/>
      <c r="AA58" s="78"/>
      <c r="AB58" s="78"/>
      <c r="AC58" s="78"/>
    </row>
    <row r="59" ht="20.1" customHeight="1" hidden="1" spans="1:29" x14ac:dyDescent="0.25">
      <c r="A59" s="71"/>
      <c r="B59" s="57"/>
      <c r="C59" s="57"/>
      <c r="D59" s="72"/>
      <c r="E59" s="59"/>
      <c r="F59" s="74"/>
      <c r="G59" s="61">
        <f>G16</f>
      </c>
      <c r="H59" s="62"/>
      <c r="I59" s="63"/>
      <c r="J59" s="64">
        <f>J53</f>
      </c>
      <c r="K59" s="62">
        <f>K16</f>
      </c>
      <c r="L59" s="65"/>
      <c r="M59" s="65"/>
      <c r="N59" s="65"/>
      <c r="O59" s="66">
        <f>O18</f>
      </c>
      <c r="P59" s="69"/>
      <c r="Q59" s="70"/>
      <c r="R59" s="70"/>
      <c r="S59" s="1"/>
      <c r="T59" s="1"/>
      <c r="U59" s="1"/>
      <c r="V59" s="1"/>
      <c r="W59" s="1"/>
      <c r="X59" s="76"/>
      <c r="Y59" s="78"/>
      <c r="Z59" s="78"/>
      <c r="AA59" s="78"/>
      <c r="AB59" s="78"/>
      <c r="AC59" s="78"/>
    </row>
    <row r="60" ht="20.1" customHeight="1" hidden="1" spans="1:29" x14ac:dyDescent="0.25">
      <c r="A60" s="71"/>
      <c r="B60" s="57"/>
      <c r="C60" s="57"/>
      <c r="D60" s="72"/>
      <c r="E60" s="59"/>
      <c r="F60" s="74"/>
      <c r="G60" s="61">
        <f>G16</f>
      </c>
      <c r="H60" s="62"/>
      <c r="I60" s="63"/>
      <c r="J60" s="64">
        <f>J53</f>
      </c>
      <c r="K60" s="62">
        <f>K16</f>
      </c>
      <c r="L60" s="65"/>
      <c r="M60" s="65"/>
      <c r="N60" s="65"/>
      <c r="O60" s="66">
        <f>O18</f>
      </c>
      <c r="P60" s="69"/>
      <c r="Q60" s="70"/>
      <c r="R60" s="70"/>
      <c r="S60" s="1"/>
      <c r="T60" s="1"/>
      <c r="U60" s="1"/>
      <c r="V60" s="1"/>
      <c r="W60" s="1"/>
      <c r="X60" s="76"/>
      <c r="Y60" s="78"/>
      <c r="Z60" s="78"/>
      <c r="AA60" s="78"/>
      <c r="AB60" s="78"/>
      <c r="AC60" s="78"/>
    </row>
    <row r="61" ht="20.1" customHeight="1" hidden="1" spans="1:29" x14ac:dyDescent="0.25">
      <c r="A61" s="71"/>
      <c r="B61" s="57"/>
      <c r="C61" s="57"/>
      <c r="D61" s="72"/>
      <c r="E61" s="59"/>
      <c r="F61" s="74"/>
      <c r="G61" s="61">
        <f>G16</f>
      </c>
      <c r="H61" s="62"/>
      <c r="I61" s="62"/>
      <c r="J61" s="64">
        <f>J53</f>
      </c>
      <c r="K61" s="62">
        <f>K16</f>
      </c>
      <c r="L61" s="65"/>
      <c r="M61" s="65"/>
      <c r="N61" s="65"/>
      <c r="O61" s="66">
        <f>O18</f>
      </c>
      <c r="P61" s="69"/>
      <c r="Q61" s="70"/>
      <c r="R61" s="70"/>
      <c r="S61" s="1"/>
      <c r="T61" s="1"/>
      <c r="U61" s="1"/>
      <c r="V61" s="1"/>
      <c r="W61" s="1"/>
      <c r="X61" s="76"/>
      <c r="Y61" s="78"/>
      <c r="Z61" s="78"/>
      <c r="AA61" s="78"/>
      <c r="AB61" s="78"/>
      <c r="AC61" s="78"/>
    </row>
    <row r="62" ht="20.1" customHeight="1" hidden="1" spans="1:29" x14ac:dyDescent="0.25">
      <c r="A62" s="71"/>
      <c r="B62" s="57"/>
      <c r="C62" s="57"/>
      <c r="D62" s="72"/>
      <c r="E62" s="59"/>
      <c r="F62" s="74"/>
      <c r="G62" s="61">
        <f>G16</f>
      </c>
      <c r="H62" s="62"/>
      <c r="I62" s="62"/>
      <c r="J62" s="64">
        <f>J53</f>
      </c>
      <c r="K62" s="62">
        <f>K16</f>
      </c>
      <c r="L62" s="65"/>
      <c r="M62" s="65"/>
      <c r="N62" s="65"/>
      <c r="O62" s="66">
        <f>O18</f>
      </c>
      <c r="P62" s="69"/>
      <c r="Q62" s="70"/>
      <c r="R62" s="70"/>
      <c r="S62" s="1"/>
      <c r="T62" s="1"/>
      <c r="U62" s="1"/>
      <c r="V62" s="1"/>
      <c r="W62" s="1"/>
      <c r="X62" s="76"/>
      <c r="Y62" s="78"/>
      <c r="Z62" s="78"/>
      <c r="AA62" s="78"/>
      <c r="AB62" s="78"/>
      <c r="AC62" s="78"/>
    </row>
    <row r="63" ht="20.1" customHeight="1" hidden="1" spans="1:29" x14ac:dyDescent="0.25">
      <c r="A63" s="71"/>
      <c r="B63" s="57"/>
      <c r="C63" s="57"/>
      <c r="D63" s="58"/>
      <c r="E63" s="59"/>
      <c r="F63" s="74"/>
      <c r="G63" s="61">
        <f>G16</f>
      </c>
      <c r="H63" s="62"/>
      <c r="I63" s="62"/>
      <c r="J63" s="64">
        <f>J53</f>
      </c>
      <c r="K63" s="62">
        <f>K16</f>
      </c>
      <c r="L63" s="65"/>
      <c r="M63" s="65"/>
      <c r="N63" s="65"/>
      <c r="O63" s="66">
        <f>O18</f>
      </c>
      <c r="P63" s="69"/>
      <c r="Q63" s="79"/>
      <c r="R63" s="79"/>
      <c r="S63" s="1"/>
      <c r="T63" s="1"/>
      <c r="U63" s="1"/>
      <c r="V63" s="1"/>
      <c r="W63" s="1"/>
      <c r="X63" s="76"/>
      <c r="Y63" s="78"/>
      <c r="Z63" s="78"/>
      <c r="AA63" s="78"/>
      <c r="AB63" s="78"/>
      <c r="AC63" s="78"/>
    </row>
    <row r="64" ht="20.1" customHeight="1" hidden="1" spans="1:29" x14ac:dyDescent="0.25">
      <c r="A64" s="71"/>
      <c r="B64" s="57"/>
      <c r="C64" s="57"/>
      <c r="D64" s="58"/>
      <c r="E64" s="59"/>
      <c r="F64" s="74"/>
      <c r="G64" s="61">
        <f>G16</f>
      </c>
      <c r="H64" s="62"/>
      <c r="I64" s="62"/>
      <c r="J64" s="64">
        <f>J53</f>
      </c>
      <c r="K64" s="62">
        <f>K16</f>
      </c>
      <c r="L64" s="65"/>
      <c r="M64" s="65"/>
      <c r="N64" s="65"/>
      <c r="O64" s="66">
        <f>O18</f>
      </c>
      <c r="P64" s="69" t="s">
        <v>49</v>
      </c>
      <c r="Q64" s="79"/>
      <c r="R64" s="79"/>
      <c r="S64" s="1"/>
      <c r="T64" s="1"/>
      <c r="U64" s="1"/>
      <c r="V64" s="1"/>
      <c r="W64" s="1"/>
      <c r="X64" s="76"/>
      <c r="Y64" s="78"/>
      <c r="Z64" s="78"/>
      <c r="AA64" s="78"/>
      <c r="AB64" s="78"/>
      <c r="AC64" s="78"/>
    </row>
    <row r="65" ht="20.1" customHeight="1" hidden="1" spans="1:29" x14ac:dyDescent="0.25">
      <c r="A65" s="71"/>
      <c r="B65" s="57"/>
      <c r="C65" s="57"/>
      <c r="D65" s="72"/>
      <c r="E65" s="59"/>
      <c r="F65" s="74"/>
      <c r="G65" s="61">
        <f>G16</f>
      </c>
      <c r="H65" s="62"/>
      <c r="I65" s="62"/>
      <c r="J65" s="64">
        <f>J53</f>
      </c>
      <c r="K65" s="62">
        <f>K16</f>
      </c>
      <c r="L65" s="65"/>
      <c r="M65" s="65"/>
      <c r="N65" s="65"/>
      <c r="O65" s="66">
        <f>O18</f>
      </c>
      <c r="P65" s="69"/>
      <c r="Q65" s="79"/>
      <c r="R65" s="79"/>
      <c r="S65" s="1"/>
      <c r="T65" s="1"/>
      <c r="U65" s="1"/>
      <c r="V65" s="1"/>
      <c r="W65" s="1"/>
      <c r="X65" s="76"/>
      <c r="Y65" s="78"/>
      <c r="Z65" s="78"/>
      <c r="AA65" s="78"/>
      <c r="AB65" s="78"/>
      <c r="AC65" s="78"/>
    </row>
    <row r="66" ht="20.1" customHeight="1" hidden="1" spans="1:29" x14ac:dyDescent="0.25">
      <c r="A66" s="71"/>
      <c r="B66" s="57"/>
      <c r="C66" s="57"/>
      <c r="D66" s="58"/>
      <c r="E66" s="59"/>
      <c r="F66" s="74"/>
      <c r="G66" s="61">
        <f>G16</f>
      </c>
      <c r="H66" s="62"/>
      <c r="I66" s="62"/>
      <c r="J66" s="64">
        <f>J53</f>
      </c>
      <c r="K66" s="62">
        <f>K16</f>
      </c>
      <c r="L66" s="65"/>
      <c r="M66" s="65"/>
      <c r="N66" s="65"/>
      <c r="O66" s="66">
        <f>O18</f>
      </c>
      <c r="P66" s="69"/>
      <c r="Q66" s="79"/>
      <c r="R66" s="79"/>
      <c r="S66" s="1"/>
      <c r="T66" s="1"/>
      <c r="U66" s="1"/>
      <c r="V66" s="1"/>
      <c r="W66" s="1"/>
      <c r="X66" s="76"/>
      <c r="Y66" s="78"/>
      <c r="Z66" s="78"/>
      <c r="AA66" s="78"/>
      <c r="AB66" s="78"/>
      <c r="AC66" s="78"/>
    </row>
    <row r="67" ht="20.1" customHeight="1" hidden="1" spans="1:29" x14ac:dyDescent="0.25">
      <c r="A67" s="71"/>
      <c r="B67" s="57"/>
      <c r="C67" s="57"/>
      <c r="D67" s="58"/>
      <c r="E67" s="59"/>
      <c r="F67" s="74"/>
      <c r="G67" s="61">
        <f>G16</f>
      </c>
      <c r="H67" s="62"/>
      <c r="I67" s="62"/>
      <c r="J67" s="64">
        <f>J53</f>
      </c>
      <c r="K67" s="62">
        <f>K16</f>
      </c>
      <c r="L67" s="65"/>
      <c r="M67" s="65"/>
      <c r="N67" s="65"/>
      <c r="O67" s="66">
        <f>O18</f>
      </c>
      <c r="P67" s="67"/>
      <c r="Q67" s="80"/>
      <c r="R67" s="80"/>
      <c r="S67" s="1"/>
      <c r="T67" s="1"/>
      <c r="U67" s="1"/>
      <c r="V67" s="1"/>
      <c r="W67" s="1"/>
      <c r="X67" s="76"/>
      <c r="Y67" s="78"/>
      <c r="Z67" s="78"/>
      <c r="AA67" s="78"/>
      <c r="AB67" s="78"/>
      <c r="AC67" s="78"/>
    </row>
    <row r="68" ht="20.1" customHeight="1" hidden="1" spans="1:29" x14ac:dyDescent="0.25">
      <c r="A68" s="81"/>
      <c r="B68" s="22"/>
      <c r="C68" s="22"/>
      <c r="D68" s="23"/>
      <c r="E68" s="24"/>
      <c r="F68" s="82"/>
      <c r="G68" s="26">
        <f>G16</f>
      </c>
      <c r="H68" s="27"/>
      <c r="I68" s="62"/>
      <c r="J68" s="50">
        <f>J53</f>
      </c>
      <c r="K68" s="27">
        <f>K16</f>
      </c>
      <c r="L68" s="30"/>
      <c r="M68" s="30"/>
      <c r="N68" s="30"/>
      <c r="O68" s="44">
        <f>O18</f>
      </c>
      <c r="P68" s="31"/>
      <c r="Q68" s="83"/>
      <c r="R68" s="83"/>
      <c r="S68" s="1"/>
      <c r="T68" s="1"/>
      <c r="U68" s="1"/>
      <c r="V68" s="1"/>
      <c r="W68" s="1"/>
      <c r="X68" s="76"/>
      <c r="Y68" s="78"/>
      <c r="Z68" s="78"/>
      <c r="AA68" s="78"/>
      <c r="AB68" s="78"/>
      <c r="AC68" s="78"/>
    </row>
    <row r="69" ht="20.1" customHeight="1" hidden="1" spans="1:29" x14ac:dyDescent="0.25">
      <c r="A69" s="81"/>
      <c r="B69" s="22"/>
      <c r="C69" s="22"/>
      <c r="D69" s="23"/>
      <c r="E69" s="24"/>
      <c r="F69" s="82"/>
      <c r="G69" s="26">
        <f>G16</f>
      </c>
      <c r="H69" s="27"/>
      <c r="I69" s="62"/>
      <c r="J69" s="50">
        <f>J53</f>
      </c>
      <c r="K69" s="27">
        <f>K16</f>
      </c>
      <c r="L69" s="30"/>
      <c r="M69" s="30"/>
      <c r="N69" s="30"/>
      <c r="O69" s="44">
        <f>O18</f>
      </c>
      <c r="P69" s="31"/>
      <c r="Q69" s="83"/>
      <c r="R69" s="83"/>
      <c r="S69" s="1"/>
      <c r="T69" s="1"/>
      <c r="U69" s="1"/>
      <c r="V69" s="1"/>
      <c r="W69" s="1"/>
      <c r="X69" s="76"/>
      <c r="Y69" s="78"/>
      <c r="Z69" s="78"/>
      <c r="AA69" s="78"/>
      <c r="AB69" s="78"/>
      <c r="AC69" s="78"/>
    </row>
    <row r="70" ht="27" customHeight="1" hidden="1" spans="1:29" x14ac:dyDescent="0.25">
      <c r="A70" s="81"/>
      <c r="B70" s="22"/>
      <c r="C70" s="22"/>
      <c r="D70" s="23"/>
      <c r="E70" s="24"/>
      <c r="F70" s="82"/>
      <c r="G70" s="26">
        <f>G16</f>
      </c>
      <c r="H70" s="27"/>
      <c r="I70" s="62"/>
      <c r="J70" s="50">
        <f>J53</f>
      </c>
      <c r="K70" s="27">
        <f>K16</f>
      </c>
      <c r="L70" s="65"/>
      <c r="M70" s="65"/>
      <c r="N70" s="65"/>
      <c r="O70" s="44">
        <f>O18</f>
      </c>
      <c r="P70" s="31" t="s">
        <v>66</v>
      </c>
      <c r="Q70" s="51"/>
      <c r="R70" s="51"/>
      <c r="S70" s="1"/>
      <c r="T70" s="1"/>
      <c r="U70" s="1"/>
      <c r="V70" s="1"/>
      <c r="W70" s="1"/>
      <c r="X70" s="76"/>
      <c r="Y70" s="78"/>
      <c r="Z70" s="78"/>
      <c r="AA70" s="78"/>
      <c r="AB70" s="78"/>
      <c r="AC70" s="78"/>
    </row>
    <row r="71" ht="20.1" customHeight="1" hidden="1" spans="1:29" x14ac:dyDescent="0.25">
      <c r="A71" s="81"/>
      <c r="B71" s="22"/>
      <c r="C71" s="22"/>
      <c r="D71" s="23"/>
      <c r="E71" s="24"/>
      <c r="F71" s="82"/>
      <c r="G71" s="26">
        <f>G16</f>
      </c>
      <c r="H71" s="27"/>
      <c r="I71" s="62"/>
      <c r="J71" s="50">
        <f>J53</f>
      </c>
      <c r="K71" s="27">
        <f>K16</f>
      </c>
      <c r="L71" s="30"/>
      <c r="M71" s="30"/>
      <c r="N71" s="30"/>
      <c r="O71" s="44">
        <f>O18</f>
      </c>
      <c r="P71" s="31"/>
      <c r="Q71" s="83"/>
      <c r="R71" s="83"/>
      <c r="S71" s="1"/>
      <c r="T71" s="1"/>
      <c r="U71" s="1"/>
      <c r="V71" s="1"/>
      <c r="W71" s="1"/>
      <c r="X71" s="76"/>
      <c r="Y71" s="78"/>
      <c r="Z71" s="78"/>
      <c r="AA71" s="78"/>
      <c r="AB71" s="78"/>
      <c r="AC71" s="78"/>
    </row>
    <row r="72" ht="20.1" customHeight="1" hidden="1" spans="1:29" x14ac:dyDescent="0.25">
      <c r="A72" s="81"/>
      <c r="B72" s="22"/>
      <c r="C72" s="22"/>
      <c r="D72" s="23"/>
      <c r="E72" s="24"/>
      <c r="F72" s="82"/>
      <c r="G72" s="26">
        <f>G16</f>
      </c>
      <c r="H72" s="27"/>
      <c r="I72" s="62"/>
      <c r="J72" s="50">
        <f>J53</f>
      </c>
      <c r="K72" s="27">
        <f>K16</f>
      </c>
      <c r="L72" s="30"/>
      <c r="M72" s="30"/>
      <c r="N72" s="30"/>
      <c r="O72" s="44">
        <f>O18</f>
      </c>
      <c r="P72" s="31"/>
      <c r="Q72" s="83"/>
      <c r="R72" s="83"/>
      <c r="S72" s="1"/>
      <c r="T72" s="1"/>
      <c r="U72" s="1"/>
      <c r="V72" s="1"/>
      <c r="W72" s="1"/>
      <c r="X72" s="76"/>
      <c r="Y72" s="78"/>
      <c r="Z72" s="78"/>
      <c r="AA72" s="78"/>
      <c r="AB72" s="78"/>
      <c r="AC72" s="78"/>
    </row>
    <row r="73" ht="20.1" customHeight="1" hidden="1" spans="1:29" x14ac:dyDescent="0.25">
      <c r="A73" s="81"/>
      <c r="B73" s="22"/>
      <c r="C73" s="22"/>
      <c r="D73" s="23"/>
      <c r="E73" s="24"/>
      <c r="F73" s="82"/>
      <c r="G73" s="26">
        <f>G16</f>
      </c>
      <c r="H73" s="27"/>
      <c r="I73" s="62"/>
      <c r="J73" s="50">
        <f>J53</f>
      </c>
      <c r="K73" s="27">
        <f>K16</f>
      </c>
      <c r="L73" s="30"/>
      <c r="M73" s="30"/>
      <c r="N73" s="30"/>
      <c r="O73" s="44">
        <f>SUM(K73*L73)</f>
      </c>
      <c r="P73" s="31"/>
      <c r="Q73" s="83"/>
      <c r="R73" s="83"/>
      <c r="S73" s="1"/>
      <c r="T73" s="1"/>
      <c r="U73" s="1"/>
      <c r="V73" s="1"/>
      <c r="W73" s="1"/>
      <c r="X73" s="76"/>
      <c r="Y73" s="78"/>
      <c r="Z73" s="78"/>
      <c r="AA73" s="78"/>
      <c r="AB73" s="78"/>
      <c r="AC73" s="78"/>
    </row>
    <row r="74" ht="20.1" customHeight="1" hidden="1" spans="1:29" x14ac:dyDescent="0.25">
      <c r="A74" s="81"/>
      <c r="B74" s="22"/>
      <c r="C74" s="22"/>
      <c r="D74" s="23"/>
      <c r="E74" s="24"/>
      <c r="F74" s="82"/>
      <c r="G74" s="26">
        <f>G16</f>
      </c>
      <c r="H74" s="27"/>
      <c r="I74" s="62"/>
      <c r="J74" s="50">
        <f>SUM(H74*I74)</f>
      </c>
      <c r="K74" s="27">
        <f>K16</f>
      </c>
      <c r="L74" s="30"/>
      <c r="M74" s="30"/>
      <c r="N74" s="30"/>
      <c r="O74" s="44">
        <f>SUM(K74*L74)</f>
      </c>
      <c r="P74" s="31" t="s">
        <v>67</v>
      </c>
      <c r="Q74" s="83"/>
      <c r="R74" s="83"/>
      <c r="S74" s="1"/>
      <c r="T74" s="1"/>
      <c r="U74" s="1"/>
      <c r="V74" s="1"/>
      <c r="W74" s="1"/>
      <c r="X74" s="76"/>
      <c r="Y74" s="78"/>
      <c r="Z74" s="78"/>
      <c r="AA74" s="78"/>
      <c r="AB74" s="78"/>
      <c r="AC74" s="78"/>
    </row>
    <row r="75" ht="20.1" customHeight="1" hidden="1" spans="1:29" x14ac:dyDescent="0.25">
      <c r="A75" s="81"/>
      <c r="B75" s="22"/>
      <c r="C75" s="22"/>
      <c r="D75" s="23"/>
      <c r="E75" s="24"/>
      <c r="F75" s="82"/>
      <c r="G75" s="26">
        <f>SUM(D75-E75)*E75*0.02466</f>
      </c>
      <c r="H75" s="27"/>
      <c r="I75" s="62"/>
      <c r="J75" s="50">
        <f>SUM(H75*I75)</f>
      </c>
      <c r="K75" s="27">
        <f>SUM(G75*F75*J75)</f>
      </c>
      <c r="L75" s="30"/>
      <c r="M75" s="30"/>
      <c r="N75" s="30"/>
      <c r="O75" s="44">
        <f>SUM(K75*L75)</f>
      </c>
      <c r="P75" s="31"/>
      <c r="Q75" s="83" t="s">
        <v>68</v>
      </c>
      <c r="R75" s="83"/>
      <c r="S75" s="1"/>
      <c r="T75" s="1"/>
      <c r="U75" s="1"/>
      <c r="V75" s="1"/>
      <c r="W75" s="1"/>
      <c r="X75" s="76"/>
      <c r="Y75" s="78"/>
      <c r="Z75" s="78"/>
      <c r="AA75" s="78"/>
      <c r="AB75" s="78"/>
      <c r="AC75" s="78"/>
    </row>
    <row r="76" ht="20.1" customHeight="1" hidden="1" spans="1:29" x14ac:dyDescent="0.25">
      <c r="A76" s="81"/>
      <c r="B76" s="22"/>
      <c r="C76" s="22"/>
      <c r="D76" s="23"/>
      <c r="E76" s="24"/>
      <c r="F76" s="82"/>
      <c r="G76" s="26">
        <f>G16</f>
      </c>
      <c r="H76" s="27"/>
      <c r="I76" s="62"/>
      <c r="J76" s="50">
        <f>J53</f>
      </c>
      <c r="K76" s="27">
        <f>K16</f>
      </c>
      <c r="L76" s="30"/>
      <c r="M76" s="30"/>
      <c r="N76" s="30"/>
      <c r="O76" s="44">
        <f>O18</f>
      </c>
      <c r="P76" s="31"/>
      <c r="Q76" s="83"/>
      <c r="R76" s="83"/>
      <c r="S76" s="1"/>
      <c r="T76" s="1"/>
      <c r="U76" s="1"/>
      <c r="V76" s="1"/>
      <c r="W76" s="1"/>
      <c r="X76" s="76"/>
      <c r="Y76" s="78"/>
      <c r="Z76" s="78"/>
      <c r="AA76" s="78"/>
      <c r="AB76" s="78"/>
      <c r="AC76" s="78"/>
    </row>
    <row r="77" ht="20.1" customHeight="1" hidden="1" spans="1:29" x14ac:dyDescent="0.25">
      <c r="A77" s="81"/>
      <c r="B77" s="22"/>
      <c r="C77" s="22"/>
      <c r="D77" s="23"/>
      <c r="E77" s="24"/>
      <c r="F77" s="82"/>
      <c r="G77" s="26">
        <f>G16</f>
      </c>
      <c r="H77" s="27"/>
      <c r="I77" s="62"/>
      <c r="J77" s="50">
        <f>J53</f>
      </c>
      <c r="K77" s="27">
        <f>K16</f>
      </c>
      <c r="L77" s="84" t="s">
        <v>69</v>
      </c>
      <c r="M77" s="84"/>
      <c r="N77" s="84"/>
      <c r="O77" s="44">
        <f>O18</f>
      </c>
      <c r="P77" s="31" t="s">
        <v>49</v>
      </c>
      <c r="Q77" s="83" t="s">
        <v>68</v>
      </c>
      <c r="R77" s="83"/>
      <c r="S77" s="1"/>
      <c r="T77" s="1"/>
      <c r="U77" s="1"/>
      <c r="V77" s="1"/>
      <c r="W77" s="1"/>
      <c r="X77" s="76"/>
      <c r="Y77" s="78"/>
      <c r="Z77" s="78"/>
      <c r="AA77" s="78"/>
      <c r="AB77" s="78"/>
      <c r="AC77" s="78"/>
    </row>
    <row r="78" ht="20.1" customHeight="1" hidden="1" spans="1:29" x14ac:dyDescent="0.25">
      <c r="A78" s="81"/>
      <c r="B78" s="22"/>
      <c r="C78" s="22"/>
      <c r="D78" s="23"/>
      <c r="E78" s="24"/>
      <c r="F78" s="82"/>
      <c r="G78" s="26">
        <f>G16</f>
      </c>
      <c r="H78" s="27"/>
      <c r="I78" s="62"/>
      <c r="J78" s="50">
        <f t="shared" ref="J78" si="5">SUM(H78*I78)</f>
      </c>
      <c r="K78" s="27">
        <f>K16</f>
      </c>
      <c r="L78" s="84" t="s">
        <v>69</v>
      </c>
      <c r="M78" s="84"/>
      <c r="N78" s="84"/>
      <c r="O78" s="44">
        <f>O18</f>
      </c>
      <c r="P78" s="31" t="s">
        <v>58</v>
      </c>
      <c r="Q78" s="83" t="s">
        <v>57</v>
      </c>
      <c r="R78" s="83"/>
      <c r="S78" s="1"/>
      <c r="T78" s="1"/>
      <c r="U78" s="1"/>
      <c r="V78" s="1"/>
      <c r="W78" s="1"/>
      <c r="X78" s="76"/>
      <c r="Y78" s="78"/>
      <c r="Z78" s="78"/>
      <c r="AA78" s="78"/>
      <c r="AB78" s="78"/>
      <c r="AC78" s="78"/>
    </row>
    <row r="79" ht="20.1" customHeight="1" hidden="1" spans="1:29" x14ac:dyDescent="0.25">
      <c r="A79" s="81"/>
      <c r="B79" s="22"/>
      <c r="C79" s="22"/>
      <c r="D79" s="23"/>
      <c r="E79" s="24"/>
      <c r="F79" s="82"/>
      <c r="G79" s="26">
        <f>G16</f>
      </c>
      <c r="H79" s="27"/>
      <c r="I79" s="62"/>
      <c r="J79" s="50">
        <f>J53</f>
      </c>
      <c r="K79" s="27">
        <f>K16</f>
      </c>
      <c r="L79" s="84"/>
      <c r="M79" s="84"/>
      <c r="N79" s="84"/>
      <c r="O79" s="44">
        <f>O18</f>
      </c>
      <c r="P79" s="31" t="s">
        <v>49</v>
      </c>
      <c r="Q79" s="85" t="s">
        <v>68</v>
      </c>
      <c r="R79" s="85"/>
      <c r="S79" s="1"/>
      <c r="T79" s="1"/>
      <c r="U79" s="1"/>
      <c r="V79" s="1"/>
      <c r="W79" s="1"/>
      <c r="X79" s="76"/>
      <c r="Y79" s="78"/>
      <c r="Z79" s="78"/>
      <c r="AA79" s="78"/>
      <c r="AB79" s="78"/>
      <c r="AC79" s="78"/>
    </row>
    <row r="80" ht="20.1" customHeight="1" hidden="1" spans="1:29" x14ac:dyDescent="0.25">
      <c r="A80" s="81"/>
      <c r="B80" s="22"/>
      <c r="C80" s="22"/>
      <c r="D80" s="23"/>
      <c r="E80" s="24"/>
      <c r="F80" s="82"/>
      <c r="G80" s="26">
        <f t="shared" ref="G80:G108" si="6">SUM(D80-E80)*E80*0.02466</f>
      </c>
      <c r="H80" s="27"/>
      <c r="I80" s="62"/>
      <c r="J80" s="50">
        <f>J53</f>
      </c>
      <c r="K80" s="27">
        <f t="shared" ref="K80:K108" si="7">SUM(G80*F80*J80)</f>
      </c>
      <c r="L80" s="84" t="s">
        <v>69</v>
      </c>
      <c r="M80" s="84"/>
      <c r="N80" s="84"/>
      <c r="O80" s="44">
        <f>O18</f>
      </c>
      <c r="P80" s="31" t="s">
        <v>49</v>
      </c>
      <c r="Q80" s="51" t="s">
        <v>68</v>
      </c>
      <c r="R80" s="51"/>
      <c r="S80" s="1"/>
      <c r="T80" s="1"/>
      <c r="U80" s="1"/>
      <c r="V80" s="1"/>
      <c r="W80" s="7" t="s">
        <v>70</v>
      </c>
      <c r="X80" s="76"/>
      <c r="Y80" s="78"/>
      <c r="Z80" s="78"/>
      <c r="AA80" s="78"/>
      <c r="AB80" s="78"/>
      <c r="AC80" s="78"/>
    </row>
    <row r="81" ht="30" customHeight="1" hidden="1" spans="1:29" x14ac:dyDescent="0.25">
      <c r="A81" s="81"/>
      <c r="B81" s="22"/>
      <c r="C81" s="22"/>
      <c r="D81" s="23"/>
      <c r="E81" s="24"/>
      <c r="F81" s="82"/>
      <c r="G81" s="26">
        <f>SUM(D81-E81)*E81*0.02466</f>
      </c>
      <c r="H81" s="27"/>
      <c r="I81" s="62"/>
      <c r="J81" s="50">
        <f>J53</f>
      </c>
      <c r="K81" s="27">
        <f>SUM(G81*F81*J81)</f>
      </c>
      <c r="L81" s="84" t="s">
        <v>71</v>
      </c>
      <c r="M81" s="84"/>
      <c r="N81" s="84"/>
      <c r="O81" s="44">
        <f>SUM(K81*L81)</f>
      </c>
      <c r="P81" s="31" t="s">
        <v>49</v>
      </c>
      <c r="Q81" s="51"/>
      <c r="R81" s="51"/>
      <c r="S81" s="1"/>
      <c r="T81" s="1"/>
      <c r="U81" s="1"/>
      <c r="V81" s="1"/>
      <c r="W81" s="1"/>
      <c r="X81" s="76"/>
      <c r="Y81" s="78"/>
      <c r="Z81" s="78"/>
      <c r="AA81" s="78"/>
      <c r="AB81" s="78"/>
      <c r="AC81" s="78"/>
    </row>
    <row r="82" ht="20.1" customHeight="1" hidden="1" spans="1:29" x14ac:dyDescent="0.25">
      <c r="A82" s="81"/>
      <c r="B82" s="22"/>
      <c r="C82" s="22"/>
      <c r="D82" s="23"/>
      <c r="E82" s="24"/>
      <c r="F82" s="82"/>
      <c r="G82" s="26">
        <f>G80</f>
      </c>
      <c r="H82" s="27"/>
      <c r="I82" s="62"/>
      <c r="J82" s="50">
        <f>J53</f>
      </c>
      <c r="K82" s="27">
        <f>K80</f>
      </c>
      <c r="L82" s="84"/>
      <c r="M82" s="84"/>
      <c r="N82" s="84"/>
      <c r="O82" s="44">
        <f>O18</f>
      </c>
      <c r="P82" s="31" t="s">
        <v>49</v>
      </c>
      <c r="Q82" s="51" t="s">
        <v>68</v>
      </c>
      <c r="R82" s="51"/>
      <c r="S82" s="1"/>
      <c r="T82" s="1"/>
      <c r="U82" s="1"/>
      <c r="V82" s="1"/>
      <c r="W82" s="1"/>
      <c r="X82" s="76"/>
      <c r="Y82" s="78"/>
      <c r="Z82" s="78"/>
      <c r="AA82" s="78"/>
      <c r="AB82" s="78"/>
      <c r="AC82" s="78"/>
    </row>
    <row r="83" ht="30" customHeight="1" hidden="1" spans="1:29" x14ac:dyDescent="0.25">
      <c r="A83" s="81"/>
      <c r="B83" s="22"/>
      <c r="C83" s="22"/>
      <c r="D83" s="23"/>
      <c r="E83" s="24"/>
      <c r="F83" s="82"/>
      <c r="G83" s="26">
        <f>G80</f>
      </c>
      <c r="H83" s="27"/>
      <c r="I83" s="62"/>
      <c r="J83" s="50">
        <f>J53</f>
      </c>
      <c r="K83" s="27">
        <f>K80</f>
      </c>
      <c r="L83" s="84" t="s">
        <v>71</v>
      </c>
      <c r="M83" s="84"/>
      <c r="N83" s="84"/>
      <c r="O83" s="44">
        <f>O18</f>
      </c>
      <c r="P83" s="31" t="s">
        <v>49</v>
      </c>
      <c r="Q83" s="51"/>
      <c r="R83" s="51"/>
      <c r="S83" s="1"/>
      <c r="T83" s="1"/>
      <c r="U83" s="1"/>
      <c r="V83" s="1"/>
      <c r="W83" s="1"/>
      <c r="X83" s="76"/>
      <c r="Y83" s="78"/>
      <c r="Z83" s="78"/>
      <c r="AA83" s="78"/>
      <c r="AB83" s="78"/>
      <c r="AC83" s="78"/>
    </row>
    <row r="84" ht="20.1" customHeight="1" hidden="1" spans="1:29" x14ac:dyDescent="0.25">
      <c r="A84" s="81"/>
      <c r="B84" s="22"/>
      <c r="C84" s="22"/>
      <c r="D84" s="23"/>
      <c r="E84" s="24"/>
      <c r="F84" s="48"/>
      <c r="G84" s="26">
        <f>SUM(D84-E84)*E84*0.02466</f>
      </c>
      <c r="H84" s="27"/>
      <c r="I84" s="62"/>
      <c r="J84" s="50">
        <f>SUM(H84*I84)</f>
      </c>
      <c r="K84" s="27">
        <f>SUM(G84*F84*J84)</f>
      </c>
      <c r="L84" s="84" t="s">
        <v>69</v>
      </c>
      <c r="M84" s="84"/>
      <c r="N84" s="84"/>
      <c r="O84" s="44">
        <f>SUM(K84*L84)</f>
      </c>
      <c r="P84" s="31" t="s">
        <v>56</v>
      </c>
      <c r="Q84" s="83" t="s">
        <v>72</v>
      </c>
      <c r="R84" s="83"/>
      <c r="S84" s="1"/>
      <c r="T84" s="1"/>
      <c r="U84" s="1"/>
      <c r="V84" s="1"/>
      <c r="W84" s="1"/>
      <c r="X84" s="76"/>
      <c r="Y84" s="78"/>
      <c r="Z84" s="78"/>
      <c r="AA84" s="78"/>
      <c r="AB84" s="78"/>
      <c r="AC84" s="78"/>
    </row>
    <row r="85" ht="20.1" customHeight="1" hidden="1" spans="1:29" x14ac:dyDescent="0.25">
      <c r="A85" s="81"/>
      <c r="B85" s="22"/>
      <c r="C85" s="22"/>
      <c r="D85" s="23"/>
      <c r="E85" s="24"/>
      <c r="F85" s="48"/>
      <c r="G85" s="26">
        <f>G80</f>
      </c>
      <c r="H85" s="27"/>
      <c r="I85" s="62"/>
      <c r="J85" s="50">
        <f>J53</f>
      </c>
      <c r="K85" s="27">
        <f>K80</f>
      </c>
      <c r="L85" s="84"/>
      <c r="M85" s="84"/>
      <c r="N85" s="84"/>
      <c r="O85" s="44">
        <f>O18</f>
      </c>
      <c r="P85" s="31" t="s">
        <v>49</v>
      </c>
      <c r="Q85" s="83"/>
      <c r="R85" s="83"/>
      <c r="S85" s="1"/>
      <c r="T85" s="1"/>
      <c r="U85" s="1"/>
      <c r="V85" s="1"/>
      <c r="W85" s="1"/>
      <c r="X85" s="76"/>
      <c r="Y85" s="78"/>
      <c r="Z85" s="78"/>
      <c r="AA85" s="78"/>
      <c r="AB85" s="78"/>
      <c r="AC85" s="78"/>
    </row>
    <row r="86" ht="20.1" customHeight="1" hidden="1" spans="1:29" x14ac:dyDescent="0.25">
      <c r="A86" s="81"/>
      <c r="B86" s="22"/>
      <c r="C86" s="22"/>
      <c r="D86" s="23"/>
      <c r="E86" s="24"/>
      <c r="F86" s="48"/>
      <c r="G86" s="26">
        <f>G80</f>
      </c>
      <c r="H86" s="27"/>
      <c r="I86" s="62"/>
      <c r="J86" s="27">
        <f>J53</f>
      </c>
      <c r="K86" s="27">
        <f>K80</f>
      </c>
      <c r="L86" s="84"/>
      <c r="M86" s="84"/>
      <c r="N86" s="84"/>
      <c r="O86" s="44">
        <f>O18</f>
      </c>
      <c r="P86" s="31" t="s">
        <v>49</v>
      </c>
      <c r="Q86" s="83"/>
      <c r="R86" s="83"/>
      <c r="S86" s="1"/>
      <c r="T86" s="1"/>
      <c r="U86" s="1"/>
      <c r="V86" s="1"/>
      <c r="W86" s="1"/>
      <c r="X86" s="76"/>
      <c r="Y86" s="78"/>
      <c r="Z86" s="78"/>
      <c r="AA86" s="78"/>
      <c r="AB86" s="78"/>
      <c r="AC86" s="78"/>
    </row>
    <row r="87" ht="20.1" customHeight="1" hidden="1" spans="1:29" x14ac:dyDescent="0.25">
      <c r="A87" s="81"/>
      <c r="B87" s="22"/>
      <c r="C87" s="22"/>
      <c r="D87" s="23"/>
      <c r="E87" s="24"/>
      <c r="F87" s="48"/>
      <c r="G87" s="26">
        <f>G80</f>
      </c>
      <c r="H87" s="27"/>
      <c r="I87" s="62"/>
      <c r="J87" s="27">
        <f>J53</f>
      </c>
      <c r="K87" s="27">
        <f>K80</f>
      </c>
      <c r="L87" s="84"/>
      <c r="M87" s="84"/>
      <c r="N87" s="84"/>
      <c r="O87" s="44">
        <f>O18</f>
      </c>
      <c r="P87" s="31" t="s">
        <v>49</v>
      </c>
      <c r="Q87" s="83"/>
      <c r="R87" s="83"/>
      <c r="S87" s="1"/>
      <c r="T87" s="1"/>
      <c r="U87" s="1"/>
      <c r="V87" s="1"/>
      <c r="W87" s="1"/>
      <c r="X87" s="76"/>
      <c r="Y87" s="78"/>
      <c r="Z87" s="78"/>
      <c r="AA87" s="78"/>
      <c r="AB87" s="78"/>
      <c r="AC87" s="78"/>
    </row>
    <row r="88" ht="30" customHeight="1" hidden="1" spans="1:29" x14ac:dyDescent="0.25">
      <c r="A88" s="81"/>
      <c r="B88" s="22"/>
      <c r="C88" s="22"/>
      <c r="D88" s="23"/>
      <c r="E88" s="24"/>
      <c r="F88" s="48"/>
      <c r="G88" s="26">
        <f>G80</f>
      </c>
      <c r="H88" s="27"/>
      <c r="I88" s="62"/>
      <c r="J88" s="27">
        <f>J53</f>
      </c>
      <c r="K88" s="27">
        <f>K80</f>
      </c>
      <c r="L88" s="84"/>
      <c r="M88" s="84"/>
      <c r="N88" s="84"/>
      <c r="O88" s="44">
        <f>O18</f>
      </c>
      <c r="P88" s="31" t="s">
        <v>49</v>
      </c>
      <c r="Q88" s="83"/>
      <c r="R88" s="83"/>
      <c r="S88" s="1"/>
      <c r="T88" s="1"/>
      <c r="U88" s="1"/>
      <c r="V88" s="1"/>
      <c r="W88" s="1"/>
      <c r="X88" s="76"/>
      <c r="Y88" s="78"/>
      <c r="Z88" s="78"/>
      <c r="AA88" s="78"/>
      <c r="AB88" s="78"/>
      <c r="AC88" s="78"/>
    </row>
    <row r="89" ht="30" customHeight="1" hidden="1" spans="1:29" x14ac:dyDescent="0.25">
      <c r="A89" s="81"/>
      <c r="B89" s="22"/>
      <c r="C89" s="22"/>
      <c r="D89" s="23"/>
      <c r="E89" s="24"/>
      <c r="F89" s="48"/>
      <c r="G89" s="26">
        <f>G80</f>
      </c>
      <c r="H89" s="27"/>
      <c r="I89" s="62"/>
      <c r="J89" s="27">
        <f>J53</f>
      </c>
      <c r="K89" s="27">
        <f>K80</f>
      </c>
      <c r="L89" s="84"/>
      <c r="M89" s="84"/>
      <c r="N89" s="84"/>
      <c r="O89" s="44">
        <f>O18</f>
      </c>
      <c r="P89" s="31" t="s">
        <v>49</v>
      </c>
      <c r="Q89" s="83"/>
      <c r="R89" s="83"/>
      <c r="S89" s="1"/>
      <c r="T89" s="1"/>
      <c r="U89" s="1"/>
      <c r="V89" s="1"/>
      <c r="W89" s="1"/>
      <c r="X89" s="76"/>
      <c r="Y89" s="78"/>
      <c r="Z89" s="78"/>
      <c r="AA89" s="78"/>
      <c r="AB89" s="78"/>
      <c r="AC89" s="78"/>
    </row>
    <row r="90" ht="30" customHeight="1" hidden="1" spans="1:29" x14ac:dyDescent="0.25">
      <c r="A90" s="81"/>
      <c r="B90" s="22"/>
      <c r="C90" s="22"/>
      <c r="D90" s="23"/>
      <c r="E90" s="24"/>
      <c r="F90" s="48"/>
      <c r="G90" s="26">
        <f>G80</f>
      </c>
      <c r="H90" s="27"/>
      <c r="I90" s="62"/>
      <c r="J90" s="27">
        <f>J53</f>
      </c>
      <c r="K90" s="27">
        <f>K80</f>
      </c>
      <c r="L90" s="84"/>
      <c r="M90" s="84"/>
      <c r="N90" s="84"/>
      <c r="O90" s="44">
        <f>O18</f>
      </c>
      <c r="P90" s="31" t="s">
        <v>49</v>
      </c>
      <c r="Q90" s="83"/>
      <c r="R90" s="83"/>
      <c r="S90" s="1"/>
      <c r="T90" s="1"/>
      <c r="U90" s="1"/>
      <c r="V90" s="1"/>
      <c r="W90" s="1"/>
      <c r="X90" s="76"/>
      <c r="Y90" s="78"/>
      <c r="Z90" s="78"/>
      <c r="AA90" s="78"/>
      <c r="AB90" s="78"/>
      <c r="AC90" s="78"/>
    </row>
    <row r="91" ht="20.1" customHeight="1" hidden="1" spans="1:29" x14ac:dyDescent="0.25">
      <c r="A91" s="81"/>
      <c r="B91" s="22"/>
      <c r="C91" s="22"/>
      <c r="D91" s="23"/>
      <c r="E91" s="24"/>
      <c r="F91" s="48"/>
      <c r="G91" s="26">
        <f>G80</f>
      </c>
      <c r="H91" s="27"/>
      <c r="I91" s="62"/>
      <c r="J91" s="27">
        <f>J53</f>
      </c>
      <c r="K91" s="27">
        <f>K80</f>
      </c>
      <c r="L91" s="84"/>
      <c r="M91" s="84"/>
      <c r="N91" s="84"/>
      <c r="O91" s="44">
        <f>O18</f>
      </c>
      <c r="P91" s="31" t="s">
        <v>49</v>
      </c>
      <c r="Q91" s="83"/>
      <c r="R91" s="83"/>
      <c r="S91" s="1"/>
      <c r="T91" s="1"/>
      <c r="U91" s="1"/>
      <c r="V91" s="1"/>
      <c r="W91" s="1"/>
      <c r="X91" s="76"/>
      <c r="Y91" s="78"/>
      <c r="Z91" s="78"/>
      <c r="AA91" s="78"/>
      <c r="AB91" s="78"/>
      <c r="AC91" s="78"/>
    </row>
    <row r="92" ht="20.1" customHeight="1" hidden="1" spans="1:29" x14ac:dyDescent="0.25">
      <c r="A92" s="81"/>
      <c r="B92" s="22"/>
      <c r="C92" s="22"/>
      <c r="D92" s="23"/>
      <c r="E92" s="24"/>
      <c r="F92" s="48"/>
      <c r="G92" s="26">
        <f>G80</f>
      </c>
      <c r="H92" s="27"/>
      <c r="I92" s="86"/>
      <c r="J92" s="27">
        <f>SUM(H92*I92)</f>
      </c>
      <c r="K92" s="27">
        <f>K80</f>
      </c>
      <c r="L92" s="84"/>
      <c r="M92" s="84"/>
      <c r="N92" s="84"/>
      <c r="O92" s="44">
        <f>O18</f>
      </c>
      <c r="P92" s="31" t="s">
        <v>49</v>
      </c>
      <c r="Q92" s="83"/>
      <c r="R92" s="83"/>
      <c r="S92" s="1"/>
      <c r="T92" s="1"/>
      <c r="U92" s="1"/>
      <c r="V92" s="1"/>
      <c r="W92" s="1"/>
      <c r="X92" s="76"/>
      <c r="Y92" s="78"/>
      <c r="Z92" s="78"/>
      <c r="AA92" s="78"/>
      <c r="AB92" s="78"/>
      <c r="AC92" s="78"/>
    </row>
    <row r="93" ht="20.1" customHeight="1" hidden="1" spans="1:29" x14ac:dyDescent="0.25">
      <c r="A93" s="81"/>
      <c r="B93" s="22"/>
      <c r="C93" s="22"/>
      <c r="D93" s="23"/>
      <c r="E93" s="24"/>
      <c r="F93" s="48"/>
      <c r="G93" s="26">
        <f>G80</f>
      </c>
      <c r="H93" s="27"/>
      <c r="I93" s="86"/>
      <c r="J93" s="27">
        <f>SUM(H93*I93)</f>
      </c>
      <c r="K93" s="27">
        <f>K80</f>
      </c>
      <c r="L93" s="84" t="s">
        <v>73</v>
      </c>
      <c r="M93" s="84"/>
      <c r="N93" s="84"/>
      <c r="O93" s="44">
        <f>O18</f>
      </c>
      <c r="P93" s="31" t="s">
        <v>74</v>
      </c>
      <c r="Q93" s="83"/>
      <c r="R93" s="83"/>
      <c r="S93" s="7"/>
      <c r="T93" s="1"/>
      <c r="U93" s="1"/>
      <c r="V93" s="1"/>
      <c r="W93" s="1"/>
      <c r="X93" s="76"/>
      <c r="Y93" s="78"/>
      <c r="Z93" s="78"/>
      <c r="AA93" s="78"/>
      <c r="AB93" s="78"/>
      <c r="AC93" s="78"/>
    </row>
    <row r="94" ht="20.1" customHeight="1" hidden="1" spans="1:29" x14ac:dyDescent="0.25">
      <c r="A94" s="81"/>
      <c r="B94" s="22"/>
      <c r="C94" s="22"/>
      <c r="D94" s="23"/>
      <c r="E94" s="24"/>
      <c r="F94" s="48"/>
      <c r="G94" s="26">
        <f>G80</f>
      </c>
      <c r="H94" s="27"/>
      <c r="I94" s="86"/>
      <c r="J94" s="62">
        <f>SUM(H94*I94)</f>
      </c>
      <c r="K94" s="62">
        <f>K80</f>
      </c>
      <c r="L94" s="84" t="s">
        <v>75</v>
      </c>
      <c r="M94" s="84"/>
      <c r="N94" s="84"/>
      <c r="O94" s="44">
        <f t="shared" ref="O94:O107" si="8">SUM(K94*L94)</f>
      </c>
      <c r="P94" s="31" t="s">
        <v>76</v>
      </c>
      <c r="Q94" s="51" t="s">
        <v>76</v>
      </c>
      <c r="R94" s="51"/>
      <c r="S94" s="7"/>
      <c r="T94" s="1"/>
      <c r="U94" s="1"/>
      <c r="V94" s="1"/>
      <c r="W94" s="1"/>
      <c r="X94" s="76"/>
      <c r="Y94" s="78"/>
      <c r="Z94" s="78"/>
      <c r="AA94" s="78"/>
      <c r="AB94" s="78"/>
      <c r="AC94" s="78"/>
    </row>
    <row r="95" ht="20.1" customHeight="1" hidden="1" spans="1:29" x14ac:dyDescent="0.25">
      <c r="A95" s="81"/>
      <c r="B95" s="87"/>
      <c r="C95" s="87"/>
      <c r="D95" s="88"/>
      <c r="E95" s="24"/>
      <c r="F95" s="89"/>
      <c r="G95" s="90">
        <f>G80</f>
      </c>
      <c r="H95" s="50"/>
      <c r="I95" s="91"/>
      <c r="J95" s="50">
        <f>SUM(H95*I95)</f>
      </c>
      <c r="K95" s="50">
        <f>K80</f>
      </c>
      <c r="L95" s="84" t="s">
        <v>77</v>
      </c>
      <c r="M95" s="84"/>
      <c r="N95" s="84"/>
      <c r="O95" s="44">
        <f>O94</f>
      </c>
      <c r="P95" s="31" t="s">
        <v>49</v>
      </c>
      <c r="Q95" s="83"/>
      <c r="R95" s="83"/>
      <c r="S95" s="7"/>
      <c r="T95" s="1"/>
      <c r="U95" s="1"/>
      <c r="V95" s="1"/>
      <c r="W95" s="1"/>
      <c r="X95" s="76"/>
      <c r="Y95" s="78"/>
      <c r="Z95" s="78"/>
      <c r="AA95" s="78"/>
      <c r="AB95" s="78"/>
      <c r="AC95" s="78"/>
    </row>
    <row r="96" ht="20.1" customHeight="1" hidden="1" spans="1:29" x14ac:dyDescent="0.25">
      <c r="A96" s="81"/>
      <c r="B96" s="87"/>
      <c r="C96" s="87"/>
      <c r="D96" s="88"/>
      <c r="E96" s="24"/>
      <c r="F96" s="89"/>
      <c r="G96" s="90">
        <f>G80</f>
      </c>
      <c r="H96" s="50"/>
      <c r="I96" s="91"/>
      <c r="J96" s="50">
        <f t="shared" ref="J96:J108" si="9">SUM(H96*I96)</f>
      </c>
      <c r="K96" s="50">
        <f>K80</f>
      </c>
      <c r="L96" s="84" t="s">
        <v>69</v>
      </c>
      <c r="M96" s="84"/>
      <c r="N96" s="84"/>
      <c r="O96" s="44">
        <f>O94</f>
      </c>
      <c r="P96" s="92" t="s">
        <v>78</v>
      </c>
      <c r="Q96" s="85" t="s">
        <v>68</v>
      </c>
      <c r="R96" s="85"/>
      <c r="S96" s="7"/>
      <c r="T96" s="1"/>
      <c r="U96" s="1"/>
      <c r="V96" s="1"/>
      <c r="W96" s="1"/>
      <c r="X96" s="76"/>
      <c r="Y96" s="78"/>
      <c r="Z96" s="78"/>
      <c r="AA96" s="78"/>
      <c r="AB96" s="78"/>
      <c r="AC96" s="78"/>
    </row>
    <row r="97" ht="20.1" customHeight="1" hidden="1" spans="1:29" x14ac:dyDescent="0.25">
      <c r="A97" s="81"/>
      <c r="B97" s="87"/>
      <c r="C97" s="87"/>
      <c r="D97" s="88"/>
      <c r="E97" s="24"/>
      <c r="F97" s="88"/>
      <c r="G97" s="90">
        <f>G80</f>
      </c>
      <c r="H97" s="50"/>
      <c r="I97" s="91"/>
      <c r="J97" s="50">
        <f>J96</f>
      </c>
      <c r="K97" s="50">
        <f>K80</f>
      </c>
      <c r="L97" s="44"/>
      <c r="M97" s="44"/>
      <c r="N97" s="44"/>
      <c r="O97" s="44">
        <f>O94</f>
      </c>
      <c r="P97" s="31"/>
      <c r="Q97" s="85"/>
      <c r="R97" s="85"/>
      <c r="S97" s="1"/>
      <c r="T97" s="1"/>
      <c r="U97" s="1"/>
      <c r="V97" s="1"/>
      <c r="W97" s="1"/>
      <c r="X97" s="76"/>
      <c r="Y97" s="78"/>
      <c r="Z97" s="78"/>
      <c r="AA97" s="78"/>
      <c r="AB97" s="78"/>
      <c r="AC97" s="78"/>
    </row>
    <row r="98" ht="20.1" customHeight="1" hidden="1" spans="1:29" x14ac:dyDescent="0.25">
      <c r="A98" s="81"/>
      <c r="B98" s="87"/>
      <c r="C98" s="87"/>
      <c r="D98" s="88"/>
      <c r="E98" s="24"/>
      <c r="F98" s="88"/>
      <c r="G98" s="90">
        <f>G80</f>
      </c>
      <c r="H98" s="50"/>
      <c r="I98" s="91"/>
      <c r="J98" s="50">
        <f>SUM(H98*I98)</f>
      </c>
      <c r="K98" s="50">
        <f>K80</f>
      </c>
      <c r="L98" s="44"/>
      <c r="M98" s="44"/>
      <c r="N98" s="44"/>
      <c r="O98" s="44">
        <f>O94</f>
      </c>
      <c r="P98" s="31"/>
      <c r="Q98" s="85"/>
      <c r="R98" s="85"/>
      <c r="S98" s="1"/>
      <c r="T98" s="1"/>
      <c r="U98" s="1"/>
      <c r="V98" s="1"/>
      <c r="W98" s="1"/>
      <c r="X98" s="76"/>
      <c r="Y98" s="78"/>
      <c r="Z98" s="78"/>
      <c r="AA98" s="78"/>
      <c r="AB98" s="78"/>
      <c r="AC98" s="78"/>
    </row>
    <row r="99" ht="20.1" customHeight="1" hidden="1" spans="1:29" x14ac:dyDescent="0.25">
      <c r="A99" s="81"/>
      <c r="B99" s="87"/>
      <c r="C99" s="87"/>
      <c r="D99" s="93"/>
      <c r="E99" s="24"/>
      <c r="F99" s="89"/>
      <c r="G99" s="90">
        <f>G80</f>
      </c>
      <c r="H99" s="50"/>
      <c r="I99" s="91"/>
      <c r="J99" s="50">
        <f>J96</f>
      </c>
      <c r="K99" s="50">
        <f>K80</f>
      </c>
      <c r="L99" s="44"/>
      <c r="M99" s="44"/>
      <c r="N99" s="44"/>
      <c r="O99" s="44">
        <f>O94</f>
      </c>
      <c r="P99" s="31"/>
      <c r="Q99" s="85"/>
      <c r="R99" s="85"/>
      <c r="S99" s="1"/>
      <c r="T99" s="1"/>
      <c r="U99" s="1"/>
      <c r="V99" s="1"/>
      <c r="W99" s="1"/>
      <c r="X99" s="76"/>
      <c r="Y99" s="78"/>
      <c r="Z99" s="78"/>
      <c r="AA99" s="78"/>
      <c r="AB99" s="78"/>
      <c r="AC99" s="78"/>
    </row>
    <row r="100" ht="20.1" customHeight="1" hidden="1" spans="1:29" x14ac:dyDescent="0.25">
      <c r="A100" s="81"/>
      <c r="B100" s="87"/>
      <c r="C100" s="87"/>
      <c r="D100" s="93"/>
      <c r="E100" s="24"/>
      <c r="F100" s="89"/>
      <c r="G100" s="90">
        <f>G80</f>
      </c>
      <c r="H100" s="50"/>
      <c r="I100" s="91"/>
      <c r="J100" s="50">
        <f>SUM(H100*I100)</f>
      </c>
      <c r="K100" s="50">
        <f>K80</f>
      </c>
      <c r="L100" s="44"/>
      <c r="M100" s="44"/>
      <c r="N100" s="44"/>
      <c r="O100" s="44">
        <f>O94</f>
      </c>
      <c r="P100" s="31"/>
      <c r="Q100" s="85"/>
      <c r="R100" s="85"/>
      <c r="S100" s="7"/>
      <c r="T100" s="1"/>
      <c r="U100" s="1"/>
      <c r="V100" s="1"/>
      <c r="W100" s="1"/>
      <c r="X100" s="76"/>
      <c r="Y100" s="78"/>
      <c r="Z100" s="78"/>
      <c r="AA100" s="78"/>
      <c r="AB100" s="78"/>
      <c r="AC100" s="78"/>
    </row>
    <row r="101" ht="20.1" customHeight="1" hidden="1" spans="1:29" x14ac:dyDescent="0.25">
      <c r="A101" s="81"/>
      <c r="B101" s="87"/>
      <c r="C101" s="87"/>
      <c r="D101" s="93"/>
      <c r="E101" s="24"/>
      <c r="F101" s="89"/>
      <c r="G101" s="90">
        <f>G80</f>
      </c>
      <c r="H101" s="50"/>
      <c r="I101" s="94"/>
      <c r="J101" s="50">
        <f>J96</f>
      </c>
      <c r="K101" s="50">
        <f>K80</f>
      </c>
      <c r="L101" s="44"/>
      <c r="M101" s="44"/>
      <c r="N101" s="44"/>
      <c r="O101" s="44">
        <f>O94</f>
      </c>
      <c r="P101" s="92" t="s">
        <v>74</v>
      </c>
      <c r="Q101" s="85"/>
      <c r="R101" s="85"/>
      <c r="S101" s="7"/>
      <c r="T101" s="1"/>
      <c r="U101" s="1"/>
      <c r="V101" s="1"/>
      <c r="W101" s="1"/>
      <c r="X101" s="76"/>
      <c r="Y101" s="78"/>
      <c r="Z101" s="78"/>
      <c r="AA101" s="78"/>
      <c r="AB101" s="78"/>
      <c r="AC101" s="78"/>
    </row>
    <row r="102" ht="20.1" customHeight="1" hidden="1" spans="1:29" x14ac:dyDescent="0.25">
      <c r="A102" s="81"/>
      <c r="B102" s="87"/>
      <c r="C102" s="87"/>
      <c r="D102" s="93"/>
      <c r="E102" s="24"/>
      <c r="F102" s="89"/>
      <c r="G102" s="90">
        <f>SUM(D102-E102)*E102*0.02466</f>
      </c>
      <c r="H102" s="50"/>
      <c r="I102" s="95"/>
      <c r="J102" s="50">
        <f>SUM(H102*I102)</f>
      </c>
      <c r="K102" s="50">
        <f>SUM(G102*F102*J102)</f>
      </c>
      <c r="L102" s="44"/>
      <c r="M102" s="44"/>
      <c r="N102" s="44"/>
      <c r="O102" s="44">
        <f>O94</f>
      </c>
      <c r="P102" s="92"/>
      <c r="Q102" s="85"/>
      <c r="R102" s="85"/>
      <c r="S102" s="7"/>
      <c r="T102" s="1"/>
      <c r="U102" s="1"/>
      <c r="V102" s="1"/>
      <c r="W102" s="1"/>
      <c r="X102" s="76"/>
      <c r="Y102" s="78"/>
      <c r="Z102" s="78"/>
      <c r="AA102" s="78"/>
      <c r="AB102" s="78"/>
      <c r="AC102" s="78"/>
    </row>
    <row r="103" ht="20.1" customHeight="1" hidden="1" spans="1:29" x14ac:dyDescent="0.25">
      <c r="A103" s="81"/>
      <c r="B103" s="87"/>
      <c r="C103" s="87"/>
      <c r="D103" s="93"/>
      <c r="E103" s="96"/>
      <c r="F103" s="89"/>
      <c r="G103" s="90">
        <f>G80</f>
      </c>
      <c r="H103" s="50"/>
      <c r="I103" s="97"/>
      <c r="J103" s="50">
        <f>J96</f>
      </c>
      <c r="K103" s="50">
        <f>K80</f>
      </c>
      <c r="L103" s="44"/>
      <c r="M103" s="44"/>
      <c r="N103" s="44"/>
      <c r="O103" s="44">
        <f>O94</f>
      </c>
      <c r="P103" s="31" t="s">
        <v>49</v>
      </c>
      <c r="Q103" s="85"/>
      <c r="R103" s="85"/>
      <c r="S103" s="1"/>
      <c r="T103" s="1"/>
      <c r="U103" s="1"/>
      <c r="V103" s="1"/>
      <c r="W103" s="1"/>
      <c r="X103" s="76"/>
      <c r="Y103" s="78"/>
      <c r="Z103" s="78"/>
      <c r="AA103" s="78"/>
      <c r="AB103" s="78"/>
      <c r="AC103" s="78"/>
    </row>
    <row r="104" ht="24.75" customHeight="1" hidden="1" spans="1:29" x14ac:dyDescent="0.25">
      <c r="A104" s="81"/>
      <c r="B104" s="87"/>
      <c r="C104" s="87"/>
      <c r="D104" s="93"/>
      <c r="E104" s="96"/>
      <c r="F104" s="89"/>
      <c r="G104" s="90">
        <f>G80</f>
      </c>
      <c r="H104" s="50"/>
      <c r="I104" s="98"/>
      <c r="J104" s="50">
        <f>J96</f>
      </c>
      <c r="K104" s="50">
        <f>K80</f>
      </c>
      <c r="L104" s="44"/>
      <c r="M104" s="44"/>
      <c r="N104" s="44"/>
      <c r="O104" s="44">
        <f>O94</f>
      </c>
      <c r="P104" s="31" t="s">
        <v>79</v>
      </c>
      <c r="Q104" s="85"/>
      <c r="R104" s="85"/>
      <c r="S104" s="7"/>
      <c r="T104" s="1"/>
      <c r="U104" s="1"/>
      <c r="V104" s="1"/>
      <c r="W104" s="1"/>
      <c r="X104" s="76"/>
      <c r="Y104" s="78"/>
      <c r="Z104" s="78"/>
      <c r="AA104" s="78"/>
      <c r="AB104" s="78"/>
      <c r="AC104" s="78"/>
    </row>
    <row r="105" ht="30.75" customHeight="1" hidden="1" spans="1:29" x14ac:dyDescent="0.25">
      <c r="A105" s="81"/>
      <c r="B105" s="87"/>
      <c r="C105" s="87"/>
      <c r="D105" s="93"/>
      <c r="E105" s="96"/>
      <c r="F105" s="89"/>
      <c r="G105" s="90">
        <f>G80</f>
      </c>
      <c r="H105" s="50"/>
      <c r="I105" s="99"/>
      <c r="J105" s="50">
        <f>SUM(H105*I105)</f>
      </c>
      <c r="K105" s="50">
        <f>K80</f>
      </c>
      <c r="L105" s="44"/>
      <c r="M105" s="44"/>
      <c r="N105" s="44"/>
      <c r="O105" s="44">
        <f>O94</f>
      </c>
      <c r="P105" s="31"/>
      <c r="Q105" s="45"/>
      <c r="R105" s="45"/>
      <c r="S105" s="1"/>
      <c r="T105" s="1"/>
      <c r="U105" s="1"/>
      <c r="V105" s="1"/>
      <c r="W105" s="1"/>
      <c r="X105" s="76"/>
      <c r="Y105" s="78"/>
      <c r="Z105" s="78"/>
      <c r="AA105" s="78"/>
      <c r="AB105" s="78"/>
      <c r="AC105" s="78"/>
    </row>
    <row r="106" ht="29.25" customHeight="1" spans="1:29" x14ac:dyDescent="0.25">
      <c r="A106" s="81"/>
      <c r="B106" s="87"/>
      <c r="C106" s="87"/>
      <c r="D106" s="93"/>
      <c r="E106" s="96"/>
      <c r="F106" s="100"/>
      <c r="G106" s="90">
        <f>SUM(D106-E106)*E106*0.02466</f>
      </c>
      <c r="H106" s="50"/>
      <c r="I106" s="50"/>
      <c r="J106" s="50">
        <f>SUM(H106*I106)</f>
      </c>
      <c r="K106" s="50">
        <f>SUM(G106*F106*J106)</f>
      </c>
      <c r="L106" s="44"/>
      <c r="M106" s="101">
        <f>SUM(K106*L106)</f>
      </c>
      <c r="N106" s="101"/>
      <c r="O106" s="101"/>
      <c r="P106" s="31"/>
      <c r="Q106" s="45"/>
      <c r="R106" s="45"/>
      <c r="S106" s="1"/>
      <c r="T106" s="1"/>
      <c r="U106" s="1"/>
      <c r="V106" s="1"/>
      <c r="W106" s="1"/>
      <c r="X106" s="76"/>
      <c r="Y106" s="102"/>
      <c r="Z106" s="102"/>
      <c r="AA106" s="102"/>
      <c r="AB106" s="102"/>
      <c r="AC106" s="102"/>
    </row>
    <row r="107" ht="30.75" customHeight="1" hidden="1" spans="1:29" x14ac:dyDescent="0.25">
      <c r="A107" s="81"/>
      <c r="B107" s="87"/>
      <c r="C107" s="87"/>
      <c r="D107" s="93"/>
      <c r="E107" s="96"/>
      <c r="F107" s="89"/>
      <c r="G107" s="90">
        <f>G80</f>
      </c>
      <c r="H107" s="50"/>
      <c r="I107" s="44"/>
      <c r="J107" s="50">
        <f>J96</f>
      </c>
      <c r="K107" s="50">
        <f>K80</f>
      </c>
      <c r="L107" s="44"/>
      <c r="M107" s="44"/>
      <c r="N107" s="44"/>
      <c r="O107" s="44">
        <f>O94</f>
      </c>
      <c r="P107" s="31" t="s">
        <v>49</v>
      </c>
      <c r="Q107" s="45"/>
      <c r="R107" s="45"/>
      <c r="S107" s="1"/>
      <c r="T107" s="1"/>
      <c r="U107" s="1"/>
      <c r="V107" s="1"/>
      <c r="W107" s="1"/>
      <c r="X107" s="76"/>
      <c r="Y107" s="102"/>
      <c r="Z107" s="102"/>
      <c r="AA107" s="102"/>
      <c r="AB107" s="102"/>
      <c r="AC107" s="102"/>
    </row>
    <row r="108" ht="29.25" customHeight="1" spans="1:29" x14ac:dyDescent="0.25">
      <c r="A108" s="81"/>
      <c r="B108" s="87"/>
      <c r="C108" s="87"/>
      <c r="D108" s="93"/>
      <c r="E108" s="96"/>
      <c r="F108" s="100"/>
      <c r="G108" s="90">
        <f>G80</f>
      </c>
      <c r="H108" s="50"/>
      <c r="I108" s="50"/>
      <c r="J108" s="50">
        <f>J96</f>
      </c>
      <c r="K108" s="50">
        <f>K80</f>
      </c>
      <c r="L108" s="44"/>
      <c r="M108" s="103">
        <f>SUM(K108*L108)</f>
      </c>
      <c r="N108" s="103"/>
      <c r="O108" s="103"/>
      <c r="P108" s="31"/>
      <c r="Q108" s="45"/>
      <c r="R108" s="45"/>
      <c r="S108" s="1"/>
      <c r="T108" s="1"/>
      <c r="U108" s="1"/>
      <c r="V108" s="1"/>
      <c r="W108" s="1"/>
      <c r="X108" s="76"/>
      <c r="Y108" s="102"/>
      <c r="Z108" s="102"/>
      <c r="AA108" s="102"/>
      <c r="AB108" s="102"/>
      <c r="AC108" s="102"/>
    </row>
    <row r="109" ht="30" customHeight="1" spans="1:29" x14ac:dyDescent="0.25">
      <c r="A109" s="104" t="s">
        <v>80</v>
      </c>
      <c r="B109" s="104"/>
      <c r="C109" s="104"/>
      <c r="D109" s="104"/>
      <c r="E109" s="104"/>
      <c r="F109" s="104"/>
      <c r="G109" s="104"/>
      <c r="H109" s="104"/>
      <c r="I109" s="105">
        <f>SUM(I16:I108)</f>
      </c>
      <c r="J109" s="106">
        <f>SUM(J16:J108)</f>
      </c>
      <c r="K109" s="105">
        <f>SUM(K16:K108)</f>
      </c>
      <c r="L109" s="107">
        <f>SUM(O16:O108)</f>
      </c>
      <c r="M109" s="107"/>
      <c r="N109" s="107"/>
      <c r="O109" s="107"/>
      <c r="P109" s="108"/>
      <c r="Q109" s="109"/>
      <c r="R109" s="109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 hidden="1" spans="1:29" x14ac:dyDescent="0.25">
      <c r="A110" s="110"/>
      <c r="B110" s="111"/>
      <c r="C110" s="111"/>
      <c r="D110" s="111"/>
      <c r="E110" s="111"/>
      <c r="F110" s="111"/>
      <c r="G110" s="111"/>
      <c r="H110" s="111"/>
      <c r="I110" s="112"/>
      <c r="J110" s="112"/>
      <c r="K110" s="112"/>
      <c r="L110" s="112"/>
      <c r="M110" s="112"/>
      <c r="N110" s="112"/>
      <c r="O110" s="112"/>
      <c r="P110" s="113"/>
      <c r="Q110" s="113"/>
      <c r="R110" s="114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 hidden="1" spans="1:29" x14ac:dyDescent="0.25">
      <c r="A111" s="115"/>
      <c r="B111" s="116"/>
      <c r="C111" s="116"/>
      <c r="D111" s="116"/>
      <c r="E111" s="116"/>
      <c r="F111" s="116"/>
      <c r="G111" s="116"/>
      <c r="H111" s="116"/>
      <c r="I111" s="117"/>
      <c r="J111" s="117"/>
      <c r="K111" s="117"/>
      <c r="L111" s="117"/>
      <c r="M111" s="117"/>
      <c r="N111" s="117"/>
      <c r="O111" s="117"/>
      <c r="P111" s="118"/>
      <c r="Q111" s="118"/>
      <c r="R111" s="119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0.5" customHeight="1" spans="1:29" x14ac:dyDescent="0.25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0.5" customHeight="1" spans="1:29" x14ac:dyDescent="0.25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 hidden="1" spans="1:29" x14ac:dyDescent="0.25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 spans="1:29" x14ac:dyDescent="0.25">
      <c r="A115" s="115"/>
      <c r="B115" s="121" t="s">
        <v>81</v>
      </c>
      <c r="C115" s="116"/>
      <c r="D115" s="116"/>
      <c r="E115" s="116"/>
      <c r="F115" s="116"/>
      <c r="G115" s="116"/>
      <c r="H115" s="116"/>
      <c r="I115" s="117"/>
      <c r="J115" s="117"/>
      <c r="K115" s="117"/>
      <c r="L115" s="117"/>
      <c r="M115" s="117"/>
      <c r="N115" s="117"/>
      <c r="O115" s="117"/>
      <c r="P115" s="118"/>
      <c r="Q115" s="118"/>
      <c r="R115" s="119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23.25" customHeight="1" spans="1:29" x14ac:dyDescent="0.25">
      <c r="A116" s="115"/>
      <c r="B116" s="122" t="s">
        <v>82</v>
      </c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21.75" customHeight="1" spans="1:29" x14ac:dyDescent="0.25">
      <c r="A117" s="115"/>
      <c r="B117" s="122" t="s">
        <v>83</v>
      </c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20.25" customHeight="1" spans="1:29" x14ac:dyDescent="0.25">
      <c r="A118" s="115"/>
      <c r="B118" s="122" t="s">
        <v>84</v>
      </c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20.25" customHeight="1" spans="1:29" x14ac:dyDescent="0.25">
      <c r="A119" s="115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3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0.5" customHeight="1" spans="1:29" x14ac:dyDescent="0.25">
      <c r="A120" s="115" t="s">
        <v>19</v>
      </c>
      <c r="B120" s="116"/>
      <c r="C120" s="116"/>
      <c r="D120" s="116"/>
      <c r="E120" s="116"/>
      <c r="F120" s="116"/>
      <c r="G120" s="116"/>
      <c r="H120" s="116"/>
      <c r="I120" s="117"/>
      <c r="J120" s="124"/>
      <c r="K120" s="117"/>
      <c r="L120" s="117"/>
      <c r="M120" s="117"/>
      <c r="N120" s="117"/>
      <c r="O120" s="117"/>
      <c r="P120" s="118"/>
      <c r="Q120" s="118"/>
      <c r="R120" s="119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24" customHeight="1" spans="1:29" x14ac:dyDescent="0.25">
      <c r="A121" s="125"/>
      <c r="B121" s="121" t="s">
        <v>85</v>
      </c>
      <c r="C121" s="7"/>
      <c r="D121" s="7"/>
      <c r="E121" s="7"/>
      <c r="F121" s="7"/>
      <c r="G121" s="126">
        <f>SUM(D121-E121)*E121*0.02466</f>
      </c>
      <c r="H121" s="7"/>
      <c r="I121" s="7"/>
      <c r="J121" s="124"/>
      <c r="K121" s="7"/>
      <c r="L121" s="7"/>
      <c r="M121" s="7"/>
      <c r="N121" s="7"/>
      <c r="O121" s="7"/>
      <c r="P121" s="7"/>
      <c r="Q121" s="7"/>
      <c r="R121" s="127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24" customHeight="1" spans="1:29" x14ac:dyDescent="0.25">
      <c r="A122" s="125"/>
      <c r="B122" s="122" t="s">
        <v>86</v>
      </c>
      <c r="C122" s="7"/>
      <c r="D122" s="7"/>
      <c r="E122" s="7"/>
      <c r="F122" s="7"/>
      <c r="G122" s="128">
        <f>SUM(D122-E122)*E122*0.02466</f>
      </c>
      <c r="H122" s="7"/>
      <c r="I122" s="7"/>
      <c r="J122" s="124"/>
      <c r="K122" s="7"/>
      <c r="L122" s="7"/>
      <c r="M122" s="7"/>
      <c r="N122" s="7"/>
      <c r="O122" s="7"/>
      <c r="P122" s="7"/>
      <c r="Q122" s="7"/>
      <c r="R122" s="127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24" customHeight="1" spans="1:29" x14ac:dyDescent="0.25">
      <c r="A123" s="125"/>
      <c r="B123" s="122" t="s">
        <v>87</v>
      </c>
      <c r="C123" s="7"/>
      <c r="D123" s="7"/>
      <c r="E123" s="7"/>
      <c r="F123" s="7"/>
      <c r="G123" s="128">
        <f>SUM(D123-E123)*E123*0.02466</f>
      </c>
      <c r="H123" s="7"/>
      <c r="I123" s="7"/>
      <c r="J123" s="124"/>
      <c r="K123" s="7"/>
      <c r="L123" s="7"/>
      <c r="M123" s="7"/>
      <c r="N123" s="7"/>
      <c r="O123" s="7"/>
      <c r="P123" s="7"/>
      <c r="Q123" s="7"/>
      <c r="R123" s="127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24" customHeight="1" spans="1:29" x14ac:dyDescent="0.25">
      <c r="A124" s="125"/>
      <c r="B124" s="122" t="s">
        <v>88</v>
      </c>
      <c r="C124" s="7"/>
      <c r="D124" s="7"/>
      <c r="E124" s="7"/>
      <c r="F124" s="7"/>
      <c r="G124" s="128">
        <f>SUM(D124-E124)*E124*0.02466</f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127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24" customHeight="1" spans="1:29" x14ac:dyDescent="0.25">
      <c r="A125" s="125"/>
      <c r="B125" s="122" t="s">
        <v>89</v>
      </c>
      <c r="C125" s="7"/>
      <c r="D125" s="7"/>
      <c r="E125" s="7"/>
      <c r="F125" s="7"/>
      <c r="G125" s="129">
        <f>SUM(D125-E125)*E125*0.02466</f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127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24" customHeight="1" spans="1:29" x14ac:dyDescent="0.25">
      <c r="A126" s="125"/>
      <c r="B126" s="122" t="s">
        <v>90</v>
      </c>
      <c r="C126" s="7"/>
      <c r="D126" s="7"/>
      <c r="E126" s="7"/>
      <c r="F126" s="7"/>
      <c r="G126" s="13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127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24" customHeight="1" spans="1:29" x14ac:dyDescent="0.25">
      <c r="A127" s="125"/>
      <c r="B127" s="122" t="s">
        <v>91</v>
      </c>
      <c r="C127" s="7"/>
      <c r="D127" s="7"/>
      <c r="E127" s="7"/>
      <c r="F127" s="7"/>
      <c r="G127" s="130">
        <f>SUM(D127-E127)*E127*0.02466</f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127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8" customHeight="1" spans="1:29" x14ac:dyDescent="0.25">
      <c r="A128" s="131"/>
      <c r="B128" s="132"/>
      <c r="C128" s="133"/>
      <c r="D128" s="133"/>
      <c r="E128" s="133"/>
      <c r="F128" s="133"/>
      <c r="G128" s="134">
        <f>SUM(D128-E128)*E128*0.02466</f>
      </c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5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</sheetData>
  <mergeCells count="130">
    <mergeCell ref="B2:Q2"/>
    <mergeCell ref="K7:L7"/>
    <mergeCell ref="M7:Q7"/>
    <mergeCell ref="K8:L8"/>
    <mergeCell ref="M8:Q8"/>
    <mergeCell ref="K9:L9"/>
    <mergeCell ref="M9:Q9"/>
    <mergeCell ref="K10:L10"/>
    <mergeCell ref="M10:Q10"/>
    <mergeCell ref="K11:L11"/>
    <mergeCell ref="M11:Q11"/>
    <mergeCell ref="D14:G14"/>
    <mergeCell ref="I14:K14"/>
    <mergeCell ref="M14:O15"/>
    <mergeCell ref="Q14:R15"/>
    <mergeCell ref="A14:A15"/>
    <mergeCell ref="B14:B15"/>
    <mergeCell ref="C14:C15"/>
    <mergeCell ref="H14:H15"/>
    <mergeCell ref="L14:L15"/>
    <mergeCell ref="P14:P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M54:O54"/>
    <mergeCell ref="Q54:R54"/>
    <mergeCell ref="Q55:R55"/>
    <mergeCell ref="X54:X108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M106:O106"/>
    <mergeCell ref="Q106:R106"/>
    <mergeCell ref="Q107:R107"/>
    <mergeCell ref="Y106:Y108"/>
    <mergeCell ref="Z106:Z108"/>
    <mergeCell ref="AA106:AA108"/>
    <mergeCell ref="AB106:AB108"/>
    <mergeCell ref="AC106:AC108"/>
    <mergeCell ref="M108:O108"/>
    <mergeCell ref="Q108:R108"/>
    <mergeCell ref="A109:H109"/>
    <mergeCell ref="L109:O109"/>
    <mergeCell ref="Q109:R109"/>
    <mergeCell ref="A112:R114"/>
    <mergeCell ref="B116:R116"/>
    <mergeCell ref="B117:R117"/>
    <mergeCell ref="B118:R118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