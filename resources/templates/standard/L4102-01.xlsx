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4102-01" state="visible" r:id="rId4"/>
  </sheets>
  <definedNames>
    <definedName name="_xlnm.Print_Area" localSheetId="0">'L4102-01'!$B1:$N67</definedName>
  </definedNames>
  <calcPr calcId="171027"/>
</workbook>
</file>

<file path=xl/sharedStrings.xml><?xml version="1.0" encoding="utf-8"?>
<sst xmlns="http://schemas.openxmlformats.org/spreadsheetml/2006/main" count="79" uniqueCount="65">
  <si>
    <t>팀원</t>
  </si>
  <si>
    <t>팀장</t>
  </si>
  <si>
    <t>제 품 명</t>
  </si>
  <si>
    <t>HCS 36 TE J 100U</t>
  </si>
  <si>
    <t>공 정 명</t>
  </si>
  <si>
    <t>저항 검사</t>
  </si>
  <si>
    <t>목 표 치</t>
  </si>
  <si>
    <t>1.67 이상</t>
  </si>
  <si>
    <t>작 성 일</t>
  </si>
  <si>
    <t>측정 항목</t>
  </si>
  <si>
    <t>저항 값</t>
  </si>
  <si>
    <t>측정주기</t>
  </si>
  <si>
    <t>150EA / 日</t>
  </si>
  <si>
    <t>합격여부</t>
  </si>
  <si>
    <t>합격</t>
  </si>
  <si>
    <t>LOT 구분</t>
  </si>
  <si>
    <t>샘플</t>
  </si>
  <si>
    <t>X 1</t>
  </si>
  <si>
    <t>X 2</t>
  </si>
  <si>
    <t>X 3</t>
  </si>
  <si>
    <t>X 4</t>
  </si>
  <si>
    <t>X 5</t>
  </si>
  <si>
    <t>X</t>
  </si>
  <si>
    <t>R</t>
  </si>
  <si>
    <t>Pp</t>
  </si>
  <si>
    <t>Ppk</t>
  </si>
  <si>
    <t>k</t>
  </si>
  <si>
    <t>상  한</t>
  </si>
  <si>
    <t>하  한</t>
  </si>
  <si>
    <t xml:space="preserve">    n (시료수)</t>
  </si>
  <si>
    <t xml:space="preserve">    x (평  균)</t>
  </si>
  <si>
    <r>
      <t xml:space="preserve">   σ(전체</t>
    </r>
    <r>
      <rPr>
        <charset val="129"/>
        <color theme="1"/>
        <family val="2"/>
        <scheme val="minor"/>
        <sz val="11"/>
        <rFont val="맑은 고딕"/>
      </rPr>
      <t xml:space="preserve"> </t>
    </r>
    <r>
      <rPr>
        <charset val="129"/>
        <family val="3"/>
        <sz val="12"/>
        <rFont val="돋움체"/>
      </rPr>
      <t>표준편차)</t>
    </r>
  </si>
  <si>
    <t>UCL</t>
  </si>
  <si>
    <t>X 관리도</t>
  </si>
  <si>
    <t>CL</t>
  </si>
  <si>
    <t>LCL</t>
  </si>
  <si>
    <t>Spec.</t>
  </si>
  <si>
    <t>상한(SU)</t>
  </si>
  <si>
    <t>하한(SL)</t>
  </si>
  <si>
    <t>UCL=X+A2R</t>
  </si>
  <si>
    <t>평균</t>
  </si>
  <si>
    <t>CL=X</t>
  </si>
  <si>
    <t>X + 3σ</t>
  </si>
  <si>
    <t>LCL=X-A2R</t>
  </si>
  <si>
    <t>X - 3σ</t>
  </si>
  <si>
    <t>UCL=R+3d3R/d2=D4R</t>
  </si>
  <si>
    <t>범위</t>
  </si>
  <si>
    <t>CL=R</t>
  </si>
  <si>
    <t>LCL=R-3d3R/d2=D3R</t>
  </si>
  <si>
    <t>* 비  고 *</t>
  </si>
  <si>
    <t>n</t>
  </si>
  <si>
    <t>A2</t>
  </si>
  <si>
    <t>D4</t>
  </si>
  <si>
    <t>D3</t>
  </si>
  <si>
    <t>d2</t>
  </si>
  <si>
    <t>A</t>
  </si>
  <si>
    <t>D2</t>
  </si>
  <si>
    <t>D1</t>
  </si>
  <si>
    <t xml:space="preserve"> ●Pp=(SU-SL)/6σ</t>
  </si>
  <si>
    <t>-</t>
  </si>
  <si>
    <t xml:space="preserve"> ●Ppk=(1-k)*(SU-SL)/6σ</t>
  </si>
  <si>
    <t xml:space="preserve"> ●k=[(SU+SL)/2-X)]/[(SU-SL)/2]</t>
  </si>
  <si>
    <t xml:space="preserve">   K=치우침도</t>
  </si>
  <si>
    <t>&lt; R에 관한 Data &gt;</t>
  </si>
  <si>
    <t xml:space="preserve">   σ(표준편차)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</si>
</sst>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0000"/>
    <numFmt numFmtId="166" formatCode="0.0"/>
    <numFmt numFmtId="167" formatCode="0.000_ "/>
  </numFmts>
  <fonts count="8" x14ac:knownFonts="1">
    <font>
      <color theme="1"/>
      <family val="2"/>
      <scheme val="minor"/>
      <sz val="11"/>
      <name val="Calibri"/>
    </font>
    <font>
      <charset val="129"/>
      <family val="3"/>
      <sz val="12"/>
      <name val="돋움체"/>
    </font>
    <font>
      <b/>
      <charset val="129"/>
      <family val="3"/>
      <sz val="18"/>
      <name val="돋움체"/>
    </font>
    <font>
      <charset val="129"/>
      <family val="3"/>
      <sz val="20"/>
      <name val="돋움체"/>
    </font>
    <font>
      <charset val="129"/>
      <color theme="1"/>
      <family val="2"/>
      <scheme val="minor"/>
      <sz val="11"/>
      <name val="맑은 고딕"/>
    </font>
    <font>
      <b/>
      <charset val="129"/>
      <family val="3"/>
      <sz val="12"/>
      <name val="돋움체"/>
    </font>
    <font>
      <charset val="129"/>
      <family val="3"/>
      <sz val="10"/>
      <name val="돋움체"/>
    </font>
    <font>
      <b/>
      <charset val="129"/>
      <color indexed="10"/>
      <family val="3"/>
      <sz val="12"/>
      <name val="돋움체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/>
      <top/>
      <bottom style="medium"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/>
      <top style="medium"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/>
      <right/>
      <top style="thin"/>
      <bottom style="thin"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horizontal="centerContinuous" vertical="center"/>
    </xf>
    <xf numFmtId="0" fontId="1" fillId="0" borderId="14" xfId="0" applyFont="1" applyBorder="1" applyAlignment="1">
      <alignment horizontal="centerContinuous" vertical="center"/>
    </xf>
    <xf numFmtId="0" fontId="1" fillId="2" borderId="13" xfId="0" applyFont="1" applyFill="1" applyBorder="1" applyAlignment="1">
      <alignment horizontal="centerContinuous" vertical="center"/>
    </xf>
    <xf numFmtId="0" fontId="1" fillId="2" borderId="14" xfId="0" applyFont="1" applyFill="1" applyBorder="1" applyAlignment="1">
      <alignment horizontal="centerContinuous" vertical="center"/>
    </xf>
    <xf numFmtId="0" fontId="1" fillId="0" borderId="15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Continuous" vertical="center"/>
    </xf>
    <xf numFmtId="0" fontId="1" fillId="0" borderId="1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Continuous" vertical="center"/>
    </xf>
    <xf numFmtId="14" fontId="1" fillId="2" borderId="13" xfId="0" applyNumberFormat="1" applyFont="1" applyFill="1" applyBorder="1" applyAlignment="1">
      <alignment horizontal="centerContinuous" vertical="center"/>
    </xf>
    <xf numFmtId="0" fontId="1" fillId="0" borderId="9" xfId="0" applyFont="1" applyBorder="1" applyAlignment="1">
      <alignment horizontal="centerContinuous" vertical="center"/>
    </xf>
    <xf numFmtId="0" fontId="1" fillId="0" borderId="12" xfId="0" applyFont="1" applyBorder="1" applyAlignment="1">
      <alignment horizontal="centerContinuous" vertical="center"/>
    </xf>
    <xf numFmtId="0" fontId="1" fillId="2" borderId="9" xfId="0" applyFont="1" applyFill="1" applyBorder="1" applyAlignment="1">
      <alignment horizontal="centerContinuous" vertical="center"/>
    </xf>
    <xf numFmtId="0" fontId="1" fillId="2" borderId="12" xfId="0" applyFont="1" applyFill="1" applyBorder="1" applyAlignment="1">
      <alignment horizontal="centerContinuous" vertical="center"/>
    </xf>
    <xf numFmtId="0" fontId="1" fillId="0" borderId="11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Continuous" vertical="center"/>
    </xf>
    <xf numFmtId="0" fontId="1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Continuous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0" borderId="21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0" borderId="23" xfId="0" applyFont="1" applyBorder="1" applyAlignment="1">
      <alignment horizontal="center" vertical="center"/>
    </xf>
    <xf numFmtId="2" fontId="1" fillId="2" borderId="24" xfId="0" applyNumberFormat="1" applyFont="1" applyFill="1" applyBorder="1" applyAlignment="1">
      <alignment horizontal="center" vertical="center"/>
    </xf>
    <xf numFmtId="164" fontId="1" fillId="3" borderId="24" xfId="0" applyNumberFormat="1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0" fontId="5" fillId="4" borderId="18" xfId="0" applyFont="1" applyFill="1" applyBorder="1" applyAlignment="1">
      <alignment horizontal="centerContinuous" vertical="center"/>
    </xf>
    <xf numFmtId="0" fontId="5" fillId="4" borderId="25" xfId="0" applyFont="1" applyFill="1" applyBorder="1" applyAlignment="1">
      <alignment horizontal="centerContinuous" vertical="center"/>
    </xf>
    <xf numFmtId="0" fontId="5" fillId="4" borderId="19" xfId="0" applyFont="1" applyFill="1" applyBorder="1" applyAlignment="1">
      <alignment vertical="center"/>
    </xf>
    <xf numFmtId="2" fontId="5" fillId="4" borderId="26" xfId="0" applyNumberFormat="1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10" fontId="1" fillId="0" borderId="27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10" fontId="1" fillId="0" borderId="26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vertical="center"/>
    </xf>
    <xf numFmtId="164" fontId="1" fillId="0" borderId="26" xfId="0" applyNumberFormat="1" applyFont="1" applyBorder="1" applyAlignment="1">
      <alignment horizontal="center" vertical="center"/>
    </xf>
    <xf numFmtId="164" fontId="1" fillId="0" borderId="0" xfId="0" applyNumberFormat="1" applyFont="1"/>
    <xf numFmtId="0" fontId="1" fillId="5" borderId="18" xfId="0" applyFont="1" applyFill="1" applyBorder="1" applyAlignment="1">
      <alignment vertical="center"/>
    </xf>
    <xf numFmtId="0" fontId="1" fillId="5" borderId="25" xfId="0" applyFont="1" applyFill="1" applyBorder="1" applyAlignment="1">
      <alignment vertical="center"/>
    </xf>
    <xf numFmtId="0" fontId="1" fillId="5" borderId="19" xfId="0" applyFont="1" applyFill="1" applyBorder="1" applyAlignment="1">
      <alignment vertical="center"/>
    </xf>
    <xf numFmtId="164" fontId="1" fillId="5" borderId="26" xfId="0" applyNumberFormat="1" applyFont="1" applyFill="1" applyBorder="1" applyAlignment="1">
      <alignment horizontal="center" vertical="center"/>
    </xf>
    <xf numFmtId="165" fontId="1" fillId="0" borderId="6" xfId="0" applyNumberFormat="1" applyFont="1" applyBorder="1"/>
    <xf numFmtId="165" fontId="1" fillId="0" borderId="0" xfId="0" applyNumberFormat="1" applyFont="1"/>
    <xf numFmtId="0" fontId="1" fillId="0" borderId="28" xfId="0" applyFont="1" applyBorder="1" applyAlignment="1">
      <alignment vertical="center"/>
    </xf>
    <xf numFmtId="0" fontId="1" fillId="0" borderId="29" xfId="0" applyFont="1" applyBorder="1" applyAlignment="1">
      <alignment horizontal="center" vertical="center"/>
    </xf>
    <xf numFmtId="0" fontId="1" fillId="0" borderId="29" xfId="0" applyFont="1" applyBorder="1" applyAlignment="1">
      <alignment vertical="center"/>
    </xf>
    <xf numFmtId="164" fontId="1" fillId="0" borderId="30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27" xfId="0" applyNumberFormat="1" applyFont="1" applyBorder="1" applyAlignment="1">
      <alignment horizontal="center" vertical="center"/>
    </xf>
    <xf numFmtId="0" fontId="1" fillId="0" borderId="6" xfId="0" applyFont="1" applyBorder="1"/>
    <xf numFmtId="0" fontId="1" fillId="2" borderId="31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vertical="center"/>
    </xf>
    <xf numFmtId="166" fontId="1" fillId="2" borderId="27" xfId="0" applyNumberFormat="1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vertical="center"/>
    </xf>
    <xf numFmtId="166" fontId="1" fillId="2" borderId="26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 vertical="center"/>
    </xf>
    <xf numFmtId="164" fontId="1" fillId="0" borderId="17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/>
    </xf>
    <xf numFmtId="0" fontId="4" fillId="0" borderId="6" xfId="0" applyFont="1" applyBorder="1" applyAlignment="1">
      <alignment vertical="center"/>
    </xf>
    <xf numFmtId="167" fontId="1" fillId="0" borderId="32" xfId="0" applyNumberFormat="1" applyFont="1" applyBorder="1" applyAlignment="1">
      <alignment horizontal="center"/>
    </xf>
    <xf numFmtId="2" fontId="1" fillId="2" borderId="33" xfId="0" applyNumberFormat="1" applyFont="1" applyFill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0" fontId="1" fillId="0" borderId="2" xfId="0" applyFont="1" applyBorder="1"/>
    <xf numFmtId="0" fontId="1" fillId="0" borderId="1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2" xfId="0" applyFont="1" applyBorder="1"/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2" fontId="1" fillId="0" borderId="32" xfId="0" applyNumberFormat="1" applyFont="1" applyBorder="1" applyAlignment="1">
      <alignment horizontal="center"/>
    </xf>
    <xf numFmtId="0" fontId="7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2" fontId="1" fillId="0" borderId="20" xfId="0" applyNumberFormat="1" applyFont="1" applyBorder="1" applyAlignment="1">
      <alignment horizontal="center"/>
    </xf>
    <xf numFmtId="0" fontId="5" fillId="0" borderId="20" xfId="0" applyFont="1" applyBorder="1" applyAlignment="1">
      <alignment horizontal="centerContinuous"/>
    </xf>
    <xf numFmtId="0" fontId="5" fillId="0" borderId="34" xfId="0" applyFont="1" applyBorder="1" applyAlignment="1">
      <alignment horizontal="centerContinuous"/>
    </xf>
    <xf numFmtId="2" fontId="5" fillId="0" borderId="20" xfId="0" applyNumberFormat="1" applyFont="1" applyBorder="1" applyAlignment="1">
      <alignment horizontal="centerContinuous"/>
    </xf>
    <xf numFmtId="0" fontId="5" fillId="0" borderId="20" xfId="0" applyFont="1" applyBorder="1"/>
    <xf numFmtId="0" fontId="5" fillId="0" borderId="34" xfId="0" applyFont="1" applyBorder="1"/>
    <xf numFmtId="1" fontId="5" fillId="0" borderId="20" xfId="0" applyNumberFormat="1" applyFont="1" applyBorder="1" applyAlignment="1">
      <alignment horizontal="centerContinuous"/>
    </xf>
    <xf numFmtId="2" fontId="5" fillId="0" borderId="34" xfId="0" applyNumberFormat="1" applyFont="1" applyBorder="1" applyAlignment="1">
      <alignment horizontal="centerContinuous"/>
    </xf>
    <xf numFmtId="0" fontId="1" fillId="0" borderId="3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D98"/>
  <sheetViews>
    <sheetView workbookViewId="0" showGridLines="0" zoomScale="100" zoomScaleNormal="115" view="pageBreakPreview">
      <selection activeCell="Q15" sqref="Q15"/>
    </sheetView>
  </sheetViews>
  <sheetFormatPr defaultRowHeight="15" outlineLevelRow="0" outlineLevelCol="0" x14ac:dyDescent="0"/>
  <cols>
    <col min="1" max="1" width="1.75" customWidth="1"/>
    <col min="2" max="2" width="3.08203125" customWidth="1"/>
    <col min="3" max="9" width="9.58203125" customWidth="1"/>
    <col min="10" max="10" width="3.75" customWidth="1"/>
    <col min="11" max="13" width="9.58203125" customWidth="1"/>
    <col min="14" max="14" width="10.83203125" customWidth="1"/>
    <col min="15" max="15" width="18.75" customWidth="1"/>
    <col min="16" max="16" width="3.5" customWidth="1"/>
    <col min="17" max="17" width="14.75" customWidth="1"/>
  </cols>
  <sheetData>
    <row r="1" ht="20.15" customHeight="1" spans="1:30" x14ac:dyDescent="0.2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5.5" customHeight="1" spans="1:30" x14ac:dyDescent="0.25">
      <c r="A2" s="1"/>
      <c r="B2" s="3"/>
      <c r="C2" s="4"/>
      <c r="D2" s="4"/>
      <c r="E2" s="4"/>
      <c r="F2" s="4"/>
      <c r="G2" s="4"/>
      <c r="H2" s="4"/>
      <c r="I2" s="4"/>
      <c r="J2" s="3"/>
      <c r="K2" s="5" t="s">
        <v>0</v>
      </c>
      <c r="L2" s="6" t="s">
        <v>1</v>
      </c>
      <c r="M2" s="7"/>
      <c r="N2" s="7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20.15" customHeight="1" spans="1:30" x14ac:dyDescent="0.25">
      <c r="A3" s="1"/>
      <c r="B3" s="8"/>
      <c r="C3" s="9"/>
      <c r="D3" s="10"/>
      <c r="E3" s="10"/>
      <c r="F3" s="10"/>
      <c r="G3" s="9"/>
      <c r="H3" s="9"/>
      <c r="I3" s="9"/>
      <c r="J3" s="11"/>
      <c r="K3" s="8"/>
      <c r="L3" s="12"/>
      <c r="M3" s="13"/>
      <c r="N3" s="1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20.15" customHeight="1" spans="1:30" x14ac:dyDescent="0.25">
      <c r="A4" s="1"/>
      <c r="B4" s="8"/>
      <c r="C4" s="10"/>
      <c r="D4" s="9"/>
      <c r="E4" s="9"/>
      <c r="F4" s="9"/>
      <c r="G4" s="9"/>
      <c r="H4" s="9"/>
      <c r="I4" s="9"/>
      <c r="J4" s="11"/>
      <c r="K4" s="8"/>
      <c r="L4" s="12"/>
      <c r="M4" s="13"/>
      <c r="N4" s="13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6" customHeight="1" spans="1:30" x14ac:dyDescent="0.25">
      <c r="A5" s="1"/>
      <c r="B5" s="14"/>
      <c r="C5" s="15"/>
      <c r="D5" s="15"/>
      <c r="E5" s="15"/>
      <c r="F5" s="15"/>
      <c r="G5" s="15"/>
      <c r="H5" s="15"/>
      <c r="I5" s="15"/>
      <c r="J5" s="14"/>
      <c r="K5" s="14"/>
      <c r="L5" s="16"/>
      <c r="M5" s="16"/>
      <c r="N5" s="1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20.15" customHeight="1" spans="1:30" x14ac:dyDescent="0.25">
      <c r="A6" s="1"/>
      <c r="B6" s="18" t="s">
        <v>2</v>
      </c>
      <c r="C6" s="19"/>
      <c r="D6" s="20" t="s">
        <v>3</v>
      </c>
      <c r="E6" s="21"/>
      <c r="F6" s="22" t="s">
        <v>4</v>
      </c>
      <c r="G6" s="23" t="s">
        <v>5</v>
      </c>
      <c r="H6" s="21"/>
      <c r="I6" s="24" t="s">
        <v>6</v>
      </c>
      <c r="J6" s="25" t="s">
        <v>7</v>
      </c>
      <c r="K6" s="19"/>
      <c r="L6" s="24" t="s">
        <v>8</v>
      </c>
      <c r="M6" s="26">
        <v>43243</v>
      </c>
      <c r="N6" s="2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ht="20.15" customHeight="1" spans="1:30" x14ac:dyDescent="0.25">
      <c r="A7" s="1"/>
      <c r="B7" s="27" t="s">
        <v>9</v>
      </c>
      <c r="C7" s="28"/>
      <c r="D7" s="29" t="s">
        <v>10</v>
      </c>
      <c r="E7" s="30"/>
      <c r="F7" s="31" t="s">
        <v>11</v>
      </c>
      <c r="G7" s="32" t="s">
        <v>12</v>
      </c>
      <c r="H7" s="30"/>
      <c r="I7" s="33" t="s">
        <v>13</v>
      </c>
      <c r="J7" s="34" t="s">
        <v>14</v>
      </c>
      <c r="K7" s="28"/>
      <c r="L7" s="33" t="s">
        <v>15</v>
      </c>
      <c r="M7" s="34" t="s">
        <v>16</v>
      </c>
      <c r="N7" s="28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ht="16" customHeight="1" spans="1:30" x14ac:dyDescent="0.25">
      <c r="A8" s="1"/>
      <c r="B8" s="35"/>
      <c r="C8" s="36"/>
      <c r="D8" s="36"/>
      <c r="E8" s="36"/>
      <c r="F8" s="36"/>
      <c r="G8" s="36"/>
      <c r="H8" s="36"/>
      <c r="I8" s="36"/>
      <c r="J8" s="3"/>
      <c r="K8" s="4"/>
      <c r="L8" s="4"/>
      <c r="M8" s="4"/>
      <c r="N8" s="3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16" customHeight="1" spans="1:30" x14ac:dyDescent="0.25">
      <c r="A9" s="1"/>
      <c r="B9" s="38"/>
      <c r="C9" s="33"/>
      <c r="D9" s="33"/>
      <c r="E9" s="33"/>
      <c r="F9" s="33"/>
      <c r="G9" s="33"/>
      <c r="H9" s="33"/>
      <c r="I9" s="33"/>
      <c r="J9" s="14"/>
      <c r="K9" s="15"/>
      <c r="L9" s="15"/>
      <c r="M9" s="15"/>
      <c r="N9" s="17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16" customHeight="1" spans="1:30" x14ac:dyDescent="0.25">
      <c r="A10" s="1"/>
      <c r="B10" s="39"/>
      <c r="C10" s="40" t="s">
        <v>17</v>
      </c>
      <c r="D10" s="41" t="s">
        <v>18</v>
      </c>
      <c r="E10" s="41" t="s">
        <v>19</v>
      </c>
      <c r="F10" s="41" t="s">
        <v>20</v>
      </c>
      <c r="G10" s="41" t="s">
        <v>21</v>
      </c>
      <c r="H10" s="42" t="s">
        <v>22</v>
      </c>
      <c r="I10" s="42" t="s">
        <v>23</v>
      </c>
      <c r="J10" s="8"/>
      <c r="K10" s="8"/>
      <c r="L10" s="9"/>
      <c r="M10" s="43"/>
      <c r="N10" s="44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ht="16" customHeight="1" spans="1:30" x14ac:dyDescent="0.25">
      <c r="A11" s="1"/>
      <c r="B11" s="45">
        <v>1</v>
      </c>
      <c r="C11" s="46">
        <v>98.28</v>
      </c>
      <c r="D11" s="46">
        <v>98.88</v>
      </c>
      <c r="E11" s="46">
        <v>98.59</v>
      </c>
      <c r="F11" s="46">
        <v>98.27</v>
      </c>
      <c r="G11" s="46">
        <v>99.35</v>
      </c>
      <c r="H11" s="47">
        <f t="shared" ref="H11:H40" si="0">IF(ISBLANK(C11),"",AVERAGE(C11:G11))</f>
        <v>98.674</v>
      </c>
      <c r="I11" s="47">
        <f t="shared" ref="I11:I40" si="1">IF(ISBLANK(C11),"",(MAX(C11:G11)-MIN(C11:G11)))</f>
        <v>1.0799999999999983</v>
      </c>
      <c r="J11" s="8"/>
      <c r="K11" s="48"/>
      <c r="L11" s="49"/>
      <c r="M11" s="40"/>
      <c r="N11" s="50"/>
      <c r="O11" s="1"/>
      <c r="P11" s="1"/>
      <c r="Q11" s="1"/>
      <c r="R11" s="1"/>
      <c r="S11" s="1"/>
      <c r="T11" s="1"/>
      <c r="U11" s="1"/>
      <c r="V11" s="1"/>
      <c r="W11" s="51"/>
      <c r="X11" s="51">
        <f t="shared" ref="X11:X40" si="2">$N$25</f>
        <v>105</v>
      </c>
      <c r="Y11" s="51">
        <f t="shared" ref="Y11:Y40" si="3">$N$20</f>
        <v>100.99586601791053</v>
      </c>
      <c r="Z11" s="51">
        <f t="shared" ref="Z11:Z40" si="4">$N$21</f>
        <v>99.01706666666665</v>
      </c>
      <c r="AA11" s="52">
        <f t="shared" ref="AA11:AA40" si="5">$N$22</f>
        <v>97.03826731542277</v>
      </c>
      <c r="AB11" s="52">
        <f t="shared" ref="AB11:AB40" si="6">$N$26</f>
        <v>95</v>
      </c>
      <c r="AC11" s="52">
        <f t="shared" ref="AC11:AC40" si="7">$N$23</f>
        <v>3.372720000000002</v>
      </c>
      <c r="AD11" s="52">
        <f t="shared" ref="AD11:AD40" si="8">$N$24</f>
        <v>1.5946666666666673</v>
      </c>
    </row>
    <row r="12" ht="16" customHeight="1" spans="1:30" x14ac:dyDescent="0.25">
      <c r="A12" s="1"/>
      <c r="B12" s="45"/>
      <c r="C12" s="46"/>
      <c r="D12" s="46"/>
      <c r="E12" s="46"/>
      <c r="F12" s="46"/>
      <c r="G12" s="46"/>
      <c r="H12" s="47">
        <f>H11</f>
        <v>98.978</v>
      </c>
      <c r="I12" s="47">
        <f>I11</f>
        <v>1.730000000000004</v>
      </c>
      <c r="J12" s="8"/>
      <c r="K12" s="53" t="s">
        <v>24</v>
      </c>
      <c r="L12" s="54"/>
      <c r="M12" s="55"/>
      <c r="N12" s="56">
        <f>(N25-N26)/(6*N19)</f>
        <v>2.5267847378547863</v>
      </c>
      <c r="O12" s="1"/>
      <c r="P12" s="1"/>
      <c r="Q12" s="1"/>
      <c r="R12" s="1"/>
      <c r="S12" s="1"/>
      <c r="T12" s="1"/>
      <c r="U12" s="1"/>
      <c r="V12" s="1"/>
      <c r="W12" s="1"/>
      <c r="X12" s="51">
        <f>X11</f>
        <v>105</v>
      </c>
      <c r="Y12" s="51">
        <f>Y11</f>
        <v>100.99586601791053</v>
      </c>
      <c r="Z12" s="51">
        <f>Z11</f>
        <v>99.01706666666665</v>
      </c>
      <c r="AA12" s="52">
        <f>AA11</f>
        <v>97.03826731542277</v>
      </c>
      <c r="AB12" s="52">
        <f>AB11</f>
        <v>95</v>
      </c>
      <c r="AC12" s="52">
        <f>AC11</f>
        <v>3.372720000000002</v>
      </c>
      <c r="AD12" s="52">
        <f>AD11</f>
        <v>1.5946666666666673</v>
      </c>
    </row>
    <row r="13" ht="16" customHeight="1" spans="1:30" x14ac:dyDescent="0.25">
      <c r="A13" s="1"/>
      <c r="B13" s="45"/>
      <c r="C13" s="46"/>
      <c r="D13" s="46"/>
      <c r="E13" s="46"/>
      <c r="F13" s="46"/>
      <c r="G13" s="46"/>
      <c r="H13" s="47">
        <f>H11</f>
        <v>99.146</v>
      </c>
      <c r="I13" s="47">
        <f>I11</f>
        <v>2.049999999999997</v>
      </c>
      <c r="J13" s="8"/>
      <c r="K13" s="53" t="s">
        <v>25</v>
      </c>
      <c r="L13" s="54"/>
      <c r="M13" s="55"/>
      <c r="N13" s="56">
        <f>(1-N14)*N12</f>
        <v>2.0300525488557057</v>
      </c>
      <c r="O13" s="1"/>
      <c r="P13" s="1"/>
      <c r="Q13" s="1"/>
      <c r="R13" s="1"/>
      <c r="S13" s="1"/>
      <c r="T13" s="1"/>
      <c r="U13" s="1"/>
      <c r="V13" s="1"/>
      <c r="W13" s="1"/>
      <c r="X13" s="51">
        <f>X11</f>
        <v>105</v>
      </c>
      <c r="Y13" s="51">
        <f>Y11</f>
        <v>100.99586601791053</v>
      </c>
      <c r="Z13" s="51">
        <f>Z11</f>
        <v>99.01706666666665</v>
      </c>
      <c r="AA13" s="52">
        <f>AA11</f>
        <v>97.03826731542277</v>
      </c>
      <c r="AB13" s="52">
        <f>AB11</f>
        <v>95</v>
      </c>
      <c r="AC13" s="52">
        <f>AC11</f>
        <v>3.372720000000002</v>
      </c>
      <c r="AD13" s="52">
        <f>AD11</f>
        <v>1.5946666666666673</v>
      </c>
    </row>
    <row r="14" ht="16" customHeight="1" spans="1:30" x14ac:dyDescent="0.25">
      <c r="A14" s="1"/>
      <c r="B14" s="45"/>
      <c r="C14" s="46"/>
      <c r="D14" s="46"/>
      <c r="E14" s="46"/>
      <c r="F14" s="46"/>
      <c r="G14" s="46"/>
      <c r="H14" s="47">
        <f>H11</f>
        <v>98.8</v>
      </c>
      <c r="I14" s="47">
        <f>I11</f>
        <v>1.7399999999999949</v>
      </c>
      <c r="J14" s="8"/>
      <c r="K14" s="53" t="s">
        <v>26</v>
      </c>
      <c r="L14" s="54"/>
      <c r="M14" s="55"/>
      <c r="N14" s="56">
        <f>ABS((N25+N26)/2-N18)/((N25-N26)/2)</f>
        <v>0.19658666666666705</v>
      </c>
      <c r="O14" s="1"/>
      <c r="P14" s="1"/>
      <c r="Q14" s="1"/>
      <c r="R14" s="1"/>
      <c r="S14" s="1"/>
      <c r="T14" s="1"/>
      <c r="U14" s="1"/>
      <c r="V14" s="1"/>
      <c r="W14" s="1"/>
      <c r="X14" s="51">
        <f>X11</f>
        <v>105</v>
      </c>
      <c r="Y14" s="51">
        <f>Y11</f>
        <v>100.99586601791053</v>
      </c>
      <c r="Z14" s="51">
        <f>Z11</f>
        <v>99.01706666666665</v>
      </c>
      <c r="AA14" s="52">
        <f>AA11</f>
        <v>97.03826731542277</v>
      </c>
      <c r="AB14" s="52">
        <f>AB11</f>
        <v>95</v>
      </c>
      <c r="AC14" s="52">
        <f>AC11</f>
        <v>3.372720000000002</v>
      </c>
      <c r="AD14" s="52">
        <f>AD11</f>
        <v>1.5946666666666673</v>
      </c>
    </row>
    <row r="15" ht="16" customHeight="1" spans="1:30" x14ac:dyDescent="0.25">
      <c r="A15" s="1"/>
      <c r="B15" s="45"/>
      <c r="C15" s="46"/>
      <c r="D15" s="46"/>
      <c r="E15" s="46"/>
      <c r="F15" s="46"/>
      <c r="G15" s="46"/>
      <c r="H15" s="47">
        <f>H11</f>
        <v>99.53999999999999</v>
      </c>
      <c r="I15" s="47">
        <f>I11</f>
        <v>1.9300000000000068</v>
      </c>
      <c r="J15" s="8"/>
      <c r="K15" s="11"/>
      <c r="L15" s="57" t="s">
        <v>27</v>
      </c>
      <c r="M15" s="58"/>
      <c r="N15" s="59">
        <f>1-NORMSDIST(N31)</f>
      </c>
      <c r="O15" s="1"/>
      <c r="P15" s="1"/>
      <c r="Q15" s="1"/>
      <c r="R15" s="1"/>
      <c r="S15" s="1"/>
      <c r="T15" s="1"/>
      <c r="U15" s="1"/>
      <c r="V15" s="1"/>
      <c r="W15" s="1"/>
      <c r="X15" s="51">
        <f>X11</f>
        <v>105</v>
      </c>
      <c r="Y15" s="51">
        <f>Y11</f>
        <v>100.99586601791053</v>
      </c>
      <c r="Z15" s="51">
        <f>Z11</f>
        <v>99.01706666666665</v>
      </c>
      <c r="AA15" s="52">
        <f>AA11</f>
        <v>97.03826731542277</v>
      </c>
      <c r="AB15" s="52">
        <f>AB11</f>
        <v>95</v>
      </c>
      <c r="AC15" s="52">
        <f>AC11</f>
        <v>3.372720000000002</v>
      </c>
      <c r="AD15" s="52">
        <f>AD11</f>
        <v>1.5946666666666673</v>
      </c>
    </row>
    <row r="16" ht="16" customHeight="1" spans="1:30" x14ac:dyDescent="0.25">
      <c r="A16" s="1"/>
      <c r="B16" s="45"/>
      <c r="C16" s="46"/>
      <c r="D16" s="46"/>
      <c r="E16" s="46"/>
      <c r="F16" s="46"/>
      <c r="G16" s="46"/>
      <c r="H16" s="47">
        <f>H11</f>
        <v>98.88199999999999</v>
      </c>
      <c r="I16" s="47">
        <f>I11</f>
        <v>1.730000000000004</v>
      </c>
      <c r="J16" s="8"/>
      <c r="K16" s="48"/>
      <c r="L16" s="40" t="s">
        <v>28</v>
      </c>
      <c r="M16" s="60"/>
      <c r="N16" s="61">
        <f>NORMSDIST(N32)</f>
        <v>5.639977806416258e-10</v>
      </c>
      <c r="O16" s="1"/>
      <c r="P16" s="1"/>
      <c r="Q16" s="1"/>
      <c r="R16" s="1"/>
      <c r="S16" s="1"/>
      <c r="T16" s="1"/>
      <c r="U16" s="1"/>
      <c r="V16" s="1"/>
      <c r="W16" s="1"/>
      <c r="X16" s="51">
        <f>X11</f>
        <v>105</v>
      </c>
      <c r="Y16" s="51">
        <f>Y11</f>
        <v>100.99586601791053</v>
      </c>
      <c r="Z16" s="51">
        <f>Z11</f>
        <v>99.01706666666665</v>
      </c>
      <c r="AA16" s="52">
        <f>AA11</f>
        <v>97.03826731542277</v>
      </c>
      <c r="AB16" s="52">
        <f>AB11</f>
        <v>95</v>
      </c>
      <c r="AC16" s="52">
        <f>AC11</f>
        <v>3.372720000000002</v>
      </c>
      <c r="AD16" s="52">
        <f>AD11</f>
        <v>1.5946666666666673</v>
      </c>
    </row>
    <row r="17" ht="16" customHeight="1" spans="1:30" x14ac:dyDescent="0.25">
      <c r="A17" s="1"/>
      <c r="B17" s="45"/>
      <c r="C17" s="46"/>
      <c r="D17" s="46"/>
      <c r="E17" s="46"/>
      <c r="F17" s="46"/>
      <c r="G17" s="46"/>
      <c r="H17" s="47">
        <f>H11</f>
        <v>99.192</v>
      </c>
      <c r="I17" s="47">
        <f>I11</f>
        <v>2.430000000000007</v>
      </c>
      <c r="J17" s="8"/>
      <c r="K17" s="39" t="s">
        <v>29</v>
      </c>
      <c r="L17" s="62"/>
      <c r="M17" s="60"/>
      <c r="N17" s="50">
        <f>COUNT(C11:G40)</f>
        <v>150</v>
      </c>
      <c r="O17" s="1"/>
      <c r="P17" s="1"/>
      <c r="Q17" s="1"/>
      <c r="R17" s="1"/>
      <c r="S17" s="1"/>
      <c r="T17" s="1"/>
      <c r="U17" s="1"/>
      <c r="V17" s="1"/>
      <c r="W17" s="1"/>
      <c r="X17" s="51">
        <f>X11</f>
        <v>105</v>
      </c>
      <c r="Y17" s="51">
        <f>Y11</f>
        <v>100.99586601791053</v>
      </c>
      <c r="Z17" s="51">
        <f>Z11</f>
        <v>99.01706666666665</v>
      </c>
      <c r="AA17" s="52">
        <f>AA11</f>
        <v>97.03826731542277</v>
      </c>
      <c r="AB17" s="52">
        <f>AB11</f>
        <v>95</v>
      </c>
      <c r="AC17" s="52">
        <f>AC11</f>
        <v>3.372720000000002</v>
      </c>
      <c r="AD17" s="52">
        <f>AD11</f>
        <v>1.5946666666666673</v>
      </c>
    </row>
    <row r="18" ht="16" customHeight="1" spans="1:30" x14ac:dyDescent="0.25">
      <c r="A18" s="1"/>
      <c r="B18" s="45"/>
      <c r="C18" s="46"/>
      <c r="D18" s="46"/>
      <c r="E18" s="46"/>
      <c r="F18" s="46"/>
      <c r="G18" s="46"/>
      <c r="H18" s="47">
        <f>H11</f>
        <v>99.296</v>
      </c>
      <c r="I18" s="47">
        <f>I11</f>
        <v>2.530000000000001</v>
      </c>
      <c r="J18" s="8"/>
      <c r="K18" s="39" t="s">
        <v>30</v>
      </c>
      <c r="L18" s="62"/>
      <c r="M18" s="60"/>
      <c r="N18" s="63">
        <f>AVERAGE(C11:G40)</f>
        <v>99.01706666666666</v>
      </c>
      <c r="O18" s="64"/>
      <c r="P18" s="1"/>
      <c r="Q18" s="1"/>
      <c r="R18" s="1"/>
      <c r="S18" s="1"/>
      <c r="T18" s="1"/>
      <c r="U18" s="1"/>
      <c r="V18" s="1"/>
      <c r="W18" s="1"/>
      <c r="X18" s="51">
        <f>X11</f>
        <v>105</v>
      </c>
      <c r="Y18" s="51">
        <f>Y11</f>
        <v>100.99586601791053</v>
      </c>
      <c r="Z18" s="51">
        <f>Z11</f>
        <v>99.01706666666665</v>
      </c>
      <c r="AA18" s="52">
        <f>AA11</f>
        <v>97.03826731542277</v>
      </c>
      <c r="AB18" s="52">
        <f>AB11</f>
        <v>95</v>
      </c>
      <c r="AC18" s="52">
        <f>AC11</f>
        <v>3.372720000000002</v>
      </c>
      <c r="AD18" s="52">
        <f>AD11</f>
        <v>1.5946666666666673</v>
      </c>
    </row>
    <row r="19" ht="16" customHeight="1" spans="1:30" x14ac:dyDescent="0.25">
      <c r="A19" s="1"/>
      <c r="B19" s="45"/>
      <c r="C19" s="46"/>
      <c r="D19" s="46"/>
      <c r="E19" s="46"/>
      <c r="F19" s="46"/>
      <c r="G19" s="46"/>
      <c r="H19" s="47">
        <f>H11</f>
        <v>98.896</v>
      </c>
      <c r="I19" s="47">
        <f>I11</f>
        <v>1.730000000000004</v>
      </c>
      <c r="J19" s="8"/>
      <c r="K19" s="65" t="s">
        <v>31</v>
      </c>
      <c r="L19" s="66"/>
      <c r="M19" s="67"/>
      <c r="N19" s="68">
        <f>_xlfn.STDEV.S(C11:G40)</f>
        <v>0.6595997837479616</v>
      </c>
      <c r="O19" s="69"/>
      <c r="P19" s="70"/>
      <c r="Q19" s="70"/>
      <c r="R19" s="1"/>
      <c r="S19" s="1"/>
      <c r="T19" s="1"/>
      <c r="U19" s="1"/>
      <c r="V19" s="1"/>
      <c r="W19" s="1"/>
      <c r="X19" s="51">
        <f>X11</f>
        <v>105</v>
      </c>
      <c r="Y19" s="51">
        <f>Y11</f>
        <v>100.99586601791053</v>
      </c>
      <c r="Z19" s="51">
        <f>Z11</f>
        <v>99.01706666666665</v>
      </c>
      <c r="AA19" s="52">
        <f>AA11</f>
        <v>97.03826731542277</v>
      </c>
      <c r="AB19" s="52">
        <f>AB11</f>
        <v>95</v>
      </c>
      <c r="AC19" s="52">
        <f>AC11</f>
        <v>3.372720000000002</v>
      </c>
      <c r="AD19" s="52">
        <f>AD11</f>
        <v>1.5946666666666673</v>
      </c>
    </row>
    <row r="20" ht="16" customHeight="1" spans="1:30" x14ac:dyDescent="0.25">
      <c r="A20" s="1"/>
      <c r="B20" s="45"/>
      <c r="C20" s="46"/>
      <c r="D20" s="46"/>
      <c r="E20" s="46"/>
      <c r="F20" s="46"/>
      <c r="G20" s="46"/>
      <c r="H20" s="47">
        <f>H11</f>
        <v>99.292</v>
      </c>
      <c r="I20" s="47">
        <f>I11</f>
        <v>1.9300000000000068</v>
      </c>
      <c r="J20" s="8"/>
      <c r="K20" s="71"/>
      <c r="L20" s="72" t="s">
        <v>32</v>
      </c>
      <c r="M20" s="73"/>
      <c r="N20" s="74">
        <f>N21+(3*N19)</f>
        <v>100.99586601791053</v>
      </c>
      <c r="O20" s="75"/>
      <c r="P20" s="1"/>
      <c r="Q20" s="1"/>
      <c r="R20" s="1"/>
      <c r="S20" s="1"/>
      <c r="T20" s="1"/>
      <c r="U20" s="1"/>
      <c r="V20" s="1"/>
      <c r="W20" s="1"/>
      <c r="X20" s="51">
        <f>X11</f>
        <v>105</v>
      </c>
      <c r="Y20" s="51">
        <f>Y11</f>
        <v>100.99586601791053</v>
      </c>
      <c r="Z20" s="51">
        <f>Z11</f>
        <v>99.01706666666665</v>
      </c>
      <c r="AA20" s="52">
        <f>AA11</f>
        <v>97.03826731542277</v>
      </c>
      <c r="AB20" s="52">
        <f>AB11</f>
        <v>95</v>
      </c>
      <c r="AC20" s="52">
        <f>AC11</f>
        <v>3.372720000000002</v>
      </c>
      <c r="AD20" s="52">
        <f>AD11</f>
        <v>1.5946666666666673</v>
      </c>
    </row>
    <row r="21" ht="16" customHeight="1" spans="1:30" x14ac:dyDescent="0.25">
      <c r="A21" s="1"/>
      <c r="B21" s="45"/>
      <c r="C21" s="46"/>
      <c r="D21" s="46"/>
      <c r="E21" s="46"/>
      <c r="F21" s="46"/>
      <c r="G21" s="46"/>
      <c r="H21" s="47">
        <f>H11</f>
        <v>98.898</v>
      </c>
      <c r="I21" s="47">
        <f>I11</f>
        <v>1.7999999999999972</v>
      </c>
      <c r="J21" s="8"/>
      <c r="K21" s="11" t="s">
        <v>33</v>
      </c>
      <c r="L21" s="57" t="s">
        <v>34</v>
      </c>
      <c r="M21" s="58"/>
      <c r="N21" s="76">
        <f>AVERAGE(H11:H40)</f>
        <v>99.01706666666665</v>
      </c>
      <c r="O21" s="77"/>
      <c r="P21" s="1"/>
      <c r="Q21" s="1"/>
      <c r="R21" s="1"/>
      <c r="S21" s="1"/>
      <c r="T21" s="1"/>
      <c r="U21" s="1"/>
      <c r="V21" s="1"/>
      <c r="W21" s="1"/>
      <c r="X21" s="51">
        <f>X11</f>
        <v>105</v>
      </c>
      <c r="Y21" s="51">
        <f>Y11</f>
        <v>100.99586601791053</v>
      </c>
      <c r="Z21" s="51">
        <f>Z11</f>
        <v>99.01706666666665</v>
      </c>
      <c r="AA21" s="52">
        <f>AA11</f>
        <v>97.03826731542277</v>
      </c>
      <c r="AB21" s="52">
        <f>AB11</f>
        <v>95</v>
      </c>
      <c r="AC21" s="52">
        <f>AC11</f>
        <v>3.372720000000002</v>
      </c>
      <c r="AD21" s="52">
        <f>AD11</f>
        <v>1.5946666666666673</v>
      </c>
    </row>
    <row r="22" ht="16" customHeight="1" spans="1:30" x14ac:dyDescent="0.25">
      <c r="A22" s="1"/>
      <c r="B22" s="45"/>
      <c r="C22" s="46"/>
      <c r="D22" s="46"/>
      <c r="E22" s="46"/>
      <c r="F22" s="46"/>
      <c r="G22" s="46"/>
      <c r="H22" s="47">
        <f>H11</f>
        <v>99.092</v>
      </c>
      <c r="I22" s="47">
        <f>I11</f>
        <v>1.009999999999991</v>
      </c>
      <c r="J22" s="8"/>
      <c r="K22" s="39"/>
      <c r="L22" s="40" t="s">
        <v>35</v>
      </c>
      <c r="M22" s="60"/>
      <c r="N22" s="63">
        <f>N21-(3*N19)</f>
        <v>97.03826731542277</v>
      </c>
      <c r="O22" s="75"/>
      <c r="P22" s="1"/>
      <c r="Q22" s="1"/>
      <c r="R22" s="1"/>
      <c r="S22" s="1"/>
      <c r="T22" s="1"/>
      <c r="U22" s="1"/>
      <c r="V22" s="1"/>
      <c r="W22" s="1"/>
      <c r="X22" s="51">
        <f>X11</f>
        <v>105</v>
      </c>
      <c r="Y22" s="51">
        <f>Y11</f>
        <v>100.99586601791053</v>
      </c>
      <c r="Z22" s="51">
        <f>Z11</f>
        <v>99.01706666666665</v>
      </c>
      <c r="AA22" s="52">
        <f>AA11</f>
        <v>97.03826731542277</v>
      </c>
      <c r="AB22" s="52">
        <f>AB11</f>
        <v>95</v>
      </c>
      <c r="AC22" s="52">
        <f>AC11</f>
        <v>3.372720000000002</v>
      </c>
      <c r="AD22" s="52">
        <f>AD11</f>
        <v>1.5946666666666673</v>
      </c>
    </row>
    <row r="23" ht="16" customHeight="1" spans="1:30" x14ac:dyDescent="0.25">
      <c r="A23" s="1"/>
      <c r="B23" s="45"/>
      <c r="C23" s="46"/>
      <c r="D23" s="46"/>
      <c r="E23" s="46"/>
      <c r="F23" s="46"/>
      <c r="G23" s="46"/>
      <c r="H23" s="47">
        <f>H11</f>
        <v>98.874</v>
      </c>
      <c r="I23" s="47">
        <f>I11</f>
        <v>1.6000000000000085</v>
      </c>
      <c r="J23" s="8"/>
      <c r="K23" s="8"/>
      <c r="L23" s="57" t="s">
        <v>32</v>
      </c>
      <c r="M23" s="58"/>
      <c r="N23" s="76">
        <f>N24*IF(COUNT(C11:G11)=2,R35,IF(COUNT(C11:G11)=3,R36,IF(COUNT(C11:G11)=4,R37,IF(COUNT(C11:G11)=5,R38,IF(COUNT(C11:G11)=6,R39,IF(COUNT(C11:G11)=10,R40,))))))</f>
        <v>3.372720000000002</v>
      </c>
      <c r="O23" s="77"/>
      <c r="P23" s="1"/>
      <c r="Q23" s="1"/>
      <c r="R23" s="1"/>
      <c r="S23" s="1"/>
      <c r="T23" s="1"/>
      <c r="U23" s="1"/>
      <c r="V23" s="1"/>
      <c r="W23" s="1"/>
      <c r="X23" s="51">
        <f>X11</f>
        <v>105</v>
      </c>
      <c r="Y23" s="51">
        <f>Y11</f>
        <v>100.99586601791053</v>
      </c>
      <c r="Z23" s="51">
        <f>Z11</f>
        <v>99.01706666666665</v>
      </c>
      <c r="AA23" s="52">
        <f>AA11</f>
        <v>97.03826731542277</v>
      </c>
      <c r="AB23" s="52">
        <f>AB11</f>
        <v>95</v>
      </c>
      <c r="AC23" s="52">
        <f>AC11</f>
        <v>3.372720000000002</v>
      </c>
      <c r="AD23" s="52">
        <f>AD11</f>
        <v>1.5946666666666673</v>
      </c>
    </row>
    <row r="24" ht="16" customHeight="1" spans="1:30" x14ac:dyDescent="0.25">
      <c r="A24" s="1"/>
      <c r="B24" s="45"/>
      <c r="C24" s="46"/>
      <c r="D24" s="46"/>
      <c r="E24" s="46"/>
      <c r="F24" s="46"/>
      <c r="G24" s="46"/>
      <c r="H24" s="47">
        <f>H11</f>
        <v>98.67999999999999</v>
      </c>
      <c r="I24" s="47">
        <f>I11</f>
        <v>1.1500000000000057</v>
      </c>
      <c r="J24" s="8"/>
      <c r="K24" s="39"/>
      <c r="L24" s="40" t="s">
        <v>34</v>
      </c>
      <c r="M24" s="60"/>
      <c r="N24" s="63">
        <f>AVERAGE(I11:I40)</f>
        <v>1.5946666666666673</v>
      </c>
      <c r="O24" s="77"/>
      <c r="P24" s="1"/>
      <c r="Q24" s="1"/>
      <c r="R24" s="1"/>
      <c r="S24" s="1"/>
      <c r="T24" s="1"/>
      <c r="U24" s="1"/>
      <c r="V24" s="1"/>
      <c r="W24" s="1"/>
      <c r="X24" s="51">
        <f>X11</f>
        <v>105</v>
      </c>
      <c r="Y24" s="51">
        <f>Y11</f>
        <v>100.99586601791053</v>
      </c>
      <c r="Z24" s="51">
        <f>Z11</f>
        <v>99.01706666666665</v>
      </c>
      <c r="AA24" s="52">
        <f>AA11</f>
        <v>97.03826731542277</v>
      </c>
      <c r="AB24" s="52">
        <f>AB11</f>
        <v>95</v>
      </c>
      <c r="AC24" s="52">
        <f>AC11</f>
        <v>3.372720000000002</v>
      </c>
      <c r="AD24" s="52">
        <f>AD11</f>
        <v>1.5946666666666673</v>
      </c>
    </row>
    <row r="25" ht="16" customHeight="1" spans="1:30" x14ac:dyDescent="0.25">
      <c r="A25" s="1"/>
      <c r="B25" s="45"/>
      <c r="C25" s="46"/>
      <c r="D25" s="46"/>
      <c r="E25" s="46"/>
      <c r="F25" s="46"/>
      <c r="G25" s="46"/>
      <c r="H25" s="47">
        <f>H11</f>
        <v>98.808</v>
      </c>
      <c r="I25" s="47">
        <f>I11</f>
        <v>1.9500000000000028</v>
      </c>
      <c r="J25" s="8"/>
      <c r="K25" s="78" t="s">
        <v>36</v>
      </c>
      <c r="L25" s="79" t="s">
        <v>37</v>
      </c>
      <c r="M25" s="79"/>
      <c r="N25" s="80"/>
      <c r="O25" s="1"/>
      <c r="P25" s="1"/>
      <c r="Q25" s="1"/>
      <c r="R25" s="1"/>
      <c r="S25" s="1"/>
      <c r="T25" s="1"/>
      <c r="U25" s="1"/>
      <c r="V25" s="1"/>
      <c r="W25" s="1"/>
      <c r="X25" s="51">
        <f>X11</f>
        <v>105</v>
      </c>
      <c r="Y25" s="51">
        <f>Y11</f>
        <v>100.99586601791053</v>
      </c>
      <c r="Z25" s="51">
        <f>Z11</f>
        <v>99.01706666666665</v>
      </c>
      <c r="AA25" s="52">
        <f>AA11</f>
        <v>97.03826731542277</v>
      </c>
      <c r="AB25" s="52">
        <f>AB11</f>
        <v>95</v>
      </c>
      <c r="AC25" s="52">
        <f>AC11</f>
        <v>3.372720000000002</v>
      </c>
      <c r="AD25" s="52">
        <f>AD11</f>
        <v>1.5946666666666673</v>
      </c>
    </row>
    <row r="26" ht="16" customHeight="1" spans="1:30" x14ac:dyDescent="0.25">
      <c r="A26" s="1"/>
      <c r="B26" s="45"/>
      <c r="C26" s="46"/>
      <c r="D26" s="46"/>
      <c r="E26" s="46"/>
      <c r="F26" s="46"/>
      <c r="G26" s="46"/>
      <c r="H26" s="47">
        <f>H11</f>
        <v>99.26599999999999</v>
      </c>
      <c r="I26" s="47">
        <f>I11</f>
        <v>2.039999999999992</v>
      </c>
      <c r="J26" s="8"/>
      <c r="K26" s="78"/>
      <c r="L26" s="81" t="s">
        <v>38</v>
      </c>
      <c r="M26" s="81"/>
      <c r="N26" s="82"/>
      <c r="O26" s="1"/>
      <c r="P26" s="1"/>
      <c r="Q26" s="1"/>
      <c r="R26" s="1"/>
      <c r="S26" s="1"/>
      <c r="T26" s="1"/>
      <c r="U26" s="1"/>
      <c r="V26" s="1"/>
      <c r="W26" s="1"/>
      <c r="X26" s="51">
        <f>X11</f>
        <v>105</v>
      </c>
      <c r="Y26" s="51">
        <f>Y11</f>
        <v>100.99586601791053</v>
      </c>
      <c r="Z26" s="51">
        <f>Z11</f>
        <v>99.01706666666665</v>
      </c>
      <c r="AA26" s="52">
        <f>AA11</f>
        <v>97.03826731542277</v>
      </c>
      <c r="AB26" s="52">
        <f>AB11</f>
        <v>95</v>
      </c>
      <c r="AC26" s="52">
        <f>AC11</f>
        <v>3.372720000000002</v>
      </c>
      <c r="AD26" s="52">
        <f>AD11</f>
        <v>1.5946666666666673</v>
      </c>
    </row>
    <row r="27" ht="16" customHeight="1" spans="1:30" x14ac:dyDescent="0.25">
      <c r="A27" s="1"/>
      <c r="B27" s="45"/>
      <c r="C27" s="46"/>
      <c r="D27" s="46"/>
      <c r="E27" s="46"/>
      <c r="F27" s="46"/>
      <c r="G27" s="46"/>
      <c r="H27" s="47">
        <f>H11</f>
        <v>99.094</v>
      </c>
      <c r="I27" s="47">
        <f>I11</f>
        <v>2.069999999999993</v>
      </c>
      <c r="J27" s="8"/>
      <c r="K27" s="8"/>
      <c r="L27" s="57" t="s">
        <v>27</v>
      </c>
      <c r="M27" s="58"/>
      <c r="N27" s="76">
        <f>MAX(C11:G40)</f>
        <v>100.8</v>
      </c>
      <c r="O27" s="83"/>
      <c r="P27" s="84" t="s">
        <v>39</v>
      </c>
      <c r="Q27" s="1"/>
      <c r="R27" s="1"/>
      <c r="S27" s="1"/>
      <c r="T27" s="1"/>
      <c r="U27" s="1"/>
      <c r="V27" s="1"/>
      <c r="W27" s="1"/>
      <c r="X27" s="51">
        <f>X11</f>
        <v>105</v>
      </c>
      <c r="Y27" s="51">
        <f>Y11</f>
        <v>100.99586601791053</v>
      </c>
      <c r="Z27" s="51">
        <f>Z11</f>
        <v>99.01706666666665</v>
      </c>
      <c r="AA27" s="52">
        <f>AA11</f>
        <v>97.03826731542277</v>
      </c>
      <c r="AB27" s="52">
        <f>AB11</f>
        <v>95</v>
      </c>
      <c r="AC27" s="52">
        <f>AC11</f>
        <v>3.372720000000002</v>
      </c>
      <c r="AD27" s="52">
        <f>AD11</f>
        <v>1.5946666666666673</v>
      </c>
    </row>
    <row r="28" ht="16" customHeight="1" spans="1:30" x14ac:dyDescent="0.25">
      <c r="A28" s="1"/>
      <c r="B28" s="45"/>
      <c r="C28" s="46"/>
      <c r="D28" s="46"/>
      <c r="E28" s="46"/>
      <c r="F28" s="46"/>
      <c r="G28" s="46"/>
      <c r="H28" s="47">
        <f>H11</f>
        <v>98.514</v>
      </c>
      <c r="I28" s="47">
        <f>I11</f>
        <v>0.5900000000000034</v>
      </c>
      <c r="J28" s="8"/>
      <c r="K28" s="48"/>
      <c r="L28" s="40" t="s">
        <v>28</v>
      </c>
      <c r="M28" s="60"/>
      <c r="N28" s="63">
        <f>MIN(C11:G40)</f>
        <v>97.61</v>
      </c>
      <c r="O28" s="83" t="s">
        <v>40</v>
      </c>
      <c r="P28" s="84" t="s">
        <v>41</v>
      </c>
      <c r="Q28" s="1"/>
      <c r="R28" s="1"/>
      <c r="S28" s="1"/>
      <c r="T28" s="1"/>
      <c r="U28" s="1"/>
      <c r="V28" s="1"/>
      <c r="W28" s="1"/>
      <c r="X28" s="51">
        <f>X11</f>
        <v>105</v>
      </c>
      <c r="Y28" s="51">
        <f>Y11</f>
        <v>100.99586601791053</v>
      </c>
      <c r="Z28" s="51">
        <f>Z11</f>
        <v>99.01706666666665</v>
      </c>
      <c r="AA28" s="52">
        <f>AA11</f>
        <v>97.03826731542277</v>
      </c>
      <c r="AB28" s="52">
        <f>AB11</f>
        <v>95</v>
      </c>
      <c r="AC28" s="52">
        <f>AC11</f>
        <v>3.372720000000002</v>
      </c>
      <c r="AD28" s="52">
        <f>AD11</f>
        <v>1.5946666666666673</v>
      </c>
    </row>
    <row r="29" ht="16" customHeight="1" spans="1:30" x14ac:dyDescent="0.25">
      <c r="A29" s="1"/>
      <c r="B29" s="45"/>
      <c r="C29" s="46"/>
      <c r="D29" s="46"/>
      <c r="E29" s="46"/>
      <c r="F29" s="46"/>
      <c r="G29" s="46"/>
      <c r="H29" s="47">
        <f>H11</f>
        <v>98.99799999999999</v>
      </c>
      <c r="I29" s="47">
        <f>I11</f>
        <v>2.030000000000001</v>
      </c>
      <c r="J29" s="8"/>
      <c r="K29" s="8"/>
      <c r="L29" s="57" t="s">
        <v>42</v>
      </c>
      <c r="M29" s="58"/>
      <c r="N29" s="76">
        <f>(N18+3*N19)</f>
        <v>100.99586601791054</v>
      </c>
      <c r="O29" s="83"/>
      <c r="P29" s="84" t="s">
        <v>43</v>
      </c>
      <c r="Q29" s="1"/>
      <c r="R29" s="1"/>
      <c r="S29" s="1"/>
      <c r="T29" s="1"/>
      <c r="U29" s="1"/>
      <c r="V29" s="1"/>
      <c r="W29" s="1"/>
      <c r="X29" s="51">
        <f>X11</f>
        <v>105</v>
      </c>
      <c r="Y29" s="51">
        <f>Y11</f>
        <v>100.99586601791053</v>
      </c>
      <c r="Z29" s="51">
        <f>Z11</f>
        <v>99.01706666666665</v>
      </c>
      <c r="AA29" s="52">
        <f>AA11</f>
        <v>97.03826731542277</v>
      </c>
      <c r="AB29" s="52">
        <f>AB11</f>
        <v>95</v>
      </c>
      <c r="AC29" s="52">
        <f>AC11</f>
        <v>3.372720000000002</v>
      </c>
      <c r="AD29" s="52">
        <f>AD11</f>
        <v>1.5946666666666673</v>
      </c>
    </row>
    <row r="30" ht="16" customHeight="1" spans="1:30" x14ac:dyDescent="0.25">
      <c r="A30" s="1"/>
      <c r="B30" s="45"/>
      <c r="C30" s="46"/>
      <c r="D30" s="46"/>
      <c r="E30" s="46"/>
      <c r="F30" s="46"/>
      <c r="G30" s="46"/>
      <c r="H30" s="47">
        <f>H11</f>
        <v>98.90799999999999</v>
      </c>
      <c r="I30" s="47">
        <f>I11</f>
        <v>1.5799999999999983</v>
      </c>
      <c r="J30" s="8"/>
      <c r="K30" s="39"/>
      <c r="L30" s="40" t="s">
        <v>44</v>
      </c>
      <c r="M30" s="60"/>
      <c r="N30" s="63">
        <f>(N18-3*N19)</f>
        <v>97.03826731542279</v>
      </c>
      <c r="O30" s="83"/>
      <c r="P30" s="84" t="s">
        <v>45</v>
      </c>
      <c r="Q30" s="1"/>
      <c r="R30" s="1"/>
      <c r="S30" s="1"/>
      <c r="T30" s="1"/>
      <c r="U30" s="1"/>
      <c r="V30" s="1"/>
      <c r="W30" s="1"/>
      <c r="X30" s="51">
        <f>X11</f>
        <v>105</v>
      </c>
      <c r="Y30" s="51">
        <f>Y11</f>
        <v>100.99586601791053</v>
      </c>
      <c r="Z30" s="51">
        <f>Z11</f>
        <v>99.01706666666665</v>
      </c>
      <c r="AA30" s="52">
        <f>AA11</f>
        <v>97.03826731542277</v>
      </c>
      <c r="AB30" s="52">
        <f>AB11</f>
        <v>95</v>
      </c>
      <c r="AC30" s="52">
        <f>AC11</f>
        <v>3.372720000000002</v>
      </c>
      <c r="AD30" s="52">
        <f>AD11</f>
        <v>1.5946666666666673</v>
      </c>
    </row>
    <row r="31" ht="16" customHeight="1" spans="1:30" x14ac:dyDescent="0.25">
      <c r="A31" s="1"/>
      <c r="B31" s="45"/>
      <c r="C31" s="46"/>
      <c r="D31" s="46"/>
      <c r="E31" s="46"/>
      <c r="F31" s="46"/>
      <c r="G31" s="46"/>
      <c r="H31" s="47">
        <f>H11</f>
        <v>99.10799999999999</v>
      </c>
      <c r="I31" s="47">
        <f>I11</f>
        <v>1.4500000000000028</v>
      </c>
      <c r="J31" s="8"/>
      <c r="K31" s="8"/>
      <c r="L31" s="57" t="s">
        <v>27</v>
      </c>
      <c r="M31" s="58"/>
      <c r="N31" s="76">
        <f>STANDARDIZE(N25,N18,N19)</f>
        <v>9.0705507805616</v>
      </c>
      <c r="O31" s="83" t="s">
        <v>46</v>
      </c>
      <c r="P31" s="84" t="s">
        <v>47</v>
      </c>
      <c r="Q31" s="1"/>
      <c r="R31" s="1"/>
      <c r="S31" s="1"/>
      <c r="T31" s="1"/>
      <c r="U31" s="1"/>
      <c r="V31" s="1"/>
      <c r="W31" s="1"/>
      <c r="X31" s="51">
        <f>X11</f>
        <v>105</v>
      </c>
      <c r="Y31" s="51">
        <f>Y11</f>
        <v>100.99586601791053</v>
      </c>
      <c r="Z31" s="51">
        <f>Z11</f>
        <v>99.01706666666665</v>
      </c>
      <c r="AA31" s="52">
        <f>AA11</f>
        <v>97.03826731542277</v>
      </c>
      <c r="AB31" s="52">
        <f>AB11</f>
        <v>95</v>
      </c>
      <c r="AC31" s="52">
        <f>AC11</f>
        <v>3.372720000000002</v>
      </c>
      <c r="AD31" s="52">
        <f>AD11</f>
        <v>1.5946666666666673</v>
      </c>
    </row>
    <row r="32" ht="16" customHeight="1" spans="1:30" x14ac:dyDescent="0.25">
      <c r="A32" s="1"/>
      <c r="B32" s="45"/>
      <c r="C32" s="46"/>
      <c r="D32" s="46"/>
      <c r="E32" s="46"/>
      <c r="F32" s="46"/>
      <c r="G32" s="46"/>
      <c r="H32" s="47">
        <f>H11</f>
        <v>99.122</v>
      </c>
      <c r="I32" s="47">
        <f>I11</f>
        <v>1.230000000000004</v>
      </c>
      <c r="J32" s="8"/>
      <c r="K32" s="48"/>
      <c r="L32" s="40" t="s">
        <v>28</v>
      </c>
      <c r="M32" s="60"/>
      <c r="N32" s="63">
        <f>STANDARDIZE(N26,N18,N19)</f>
        <v>-6.090157646567117</v>
      </c>
      <c r="O32" s="83"/>
      <c r="P32" s="84" t="s">
        <v>48</v>
      </c>
      <c r="Q32" s="1"/>
      <c r="R32" s="1"/>
      <c r="S32" s="1"/>
      <c r="T32" s="1"/>
      <c r="U32" s="1"/>
      <c r="V32" s="1"/>
      <c r="W32" s="1"/>
      <c r="X32" s="51">
        <f>X11</f>
        <v>105</v>
      </c>
      <c r="Y32" s="51">
        <f>Y11</f>
        <v>100.99586601791053</v>
      </c>
      <c r="Z32" s="51">
        <f>Z11</f>
        <v>99.01706666666665</v>
      </c>
      <c r="AA32" s="52">
        <f>AA11</f>
        <v>97.03826731542277</v>
      </c>
      <c r="AB32" s="52">
        <f>AB11</f>
        <v>95</v>
      </c>
      <c r="AC32" s="52">
        <f>AC11</f>
        <v>3.372720000000002</v>
      </c>
      <c r="AD32" s="52">
        <f>AD11</f>
        <v>1.5946666666666673</v>
      </c>
    </row>
    <row r="33" ht="16" customHeight="1" spans="1:30" x14ac:dyDescent="0.25">
      <c r="A33" s="1"/>
      <c r="B33" s="45"/>
      <c r="C33" s="46"/>
      <c r="D33" s="46"/>
      <c r="E33" s="46"/>
      <c r="F33" s="46"/>
      <c r="G33" s="46"/>
      <c r="H33" s="47">
        <f>H11</f>
        <v>98.89599999999999</v>
      </c>
      <c r="I33" s="47">
        <f>I11</f>
        <v>1.029999999999987</v>
      </c>
      <c r="J33" s="8"/>
      <c r="K33" s="85" t="s">
        <v>49</v>
      </c>
      <c r="L33" s="36"/>
      <c r="M33" s="4"/>
      <c r="N33" s="86"/>
      <c r="O33" s="1"/>
      <c r="P33" s="1"/>
      <c r="Q33" s="1"/>
      <c r="R33" s="1"/>
      <c r="S33" s="1"/>
      <c r="T33" s="1"/>
      <c r="U33" s="1"/>
      <c r="V33" s="1"/>
      <c r="W33" s="1"/>
      <c r="X33" s="51">
        <f>X11</f>
        <v>105</v>
      </c>
      <c r="Y33" s="51">
        <f>Y11</f>
        <v>100.99586601791053</v>
      </c>
      <c r="Z33" s="51">
        <f>Z11</f>
        <v>99.01706666666665</v>
      </c>
      <c r="AA33" s="52">
        <f>AA11</f>
        <v>97.03826731542277</v>
      </c>
      <c r="AB33" s="52">
        <f>AB11</f>
        <v>95</v>
      </c>
      <c r="AC33" s="52">
        <f>AC11</f>
        <v>3.372720000000002</v>
      </c>
      <c r="AD33" s="52">
        <f>AD11</f>
        <v>1.5946666666666673</v>
      </c>
    </row>
    <row r="34" ht="16" customHeight="1" spans="1:30" x14ac:dyDescent="0.25">
      <c r="A34" s="1"/>
      <c r="B34" s="45"/>
      <c r="C34" s="46"/>
      <c r="D34" s="46"/>
      <c r="E34" s="46"/>
      <c r="F34" s="46"/>
      <c r="G34" s="46"/>
      <c r="H34" s="47">
        <f>H11</f>
        <v>99.09</v>
      </c>
      <c r="I34" s="47">
        <f>I11</f>
        <v>1.5499999999999972</v>
      </c>
      <c r="J34" s="8"/>
      <c r="K34" s="8"/>
      <c r="L34" s="87"/>
      <c r="M34" s="9"/>
      <c r="N34" s="88"/>
      <c r="O34" s="1"/>
      <c r="P34" s="89" t="s">
        <v>50</v>
      </c>
      <c r="Q34" s="89" t="s">
        <v>51</v>
      </c>
      <c r="R34" s="89" t="s">
        <v>52</v>
      </c>
      <c r="S34" s="89" t="s">
        <v>53</v>
      </c>
      <c r="T34" s="89" t="s">
        <v>54</v>
      </c>
      <c r="U34" s="89" t="s">
        <v>55</v>
      </c>
      <c r="V34" s="89" t="s">
        <v>56</v>
      </c>
      <c r="W34" s="89" t="s">
        <v>57</v>
      </c>
      <c r="X34" s="51">
        <f>X11</f>
        <v>105</v>
      </c>
      <c r="Y34" s="51">
        <f>Y11</f>
        <v>100.99586601791053</v>
      </c>
      <c r="Z34" s="51">
        <f>Z11</f>
        <v>99.01706666666665</v>
      </c>
      <c r="AA34" s="52">
        <f>AA11</f>
        <v>97.03826731542277</v>
      </c>
      <c r="AB34" s="52">
        <f>AB11</f>
        <v>95</v>
      </c>
      <c r="AC34" s="52">
        <f>AC11</f>
        <v>3.372720000000002</v>
      </c>
      <c r="AD34" s="52">
        <f>AD11</f>
        <v>1.5946666666666673</v>
      </c>
    </row>
    <row r="35" ht="16" customHeight="1" spans="1:30" x14ac:dyDescent="0.25">
      <c r="A35" s="1"/>
      <c r="B35" s="45"/>
      <c r="C35" s="46"/>
      <c r="D35" s="46"/>
      <c r="E35" s="46"/>
      <c r="F35" s="46"/>
      <c r="G35" s="46"/>
      <c r="H35" s="47">
        <f>H11</f>
        <v>99.22</v>
      </c>
      <c r="I35" s="47">
        <f>I11</f>
        <v>1.4200000000000017</v>
      </c>
      <c r="J35" s="8"/>
      <c r="K35" s="90" t="s">
        <v>58</v>
      </c>
      <c r="L35" s="87"/>
      <c r="M35" s="9"/>
      <c r="N35" s="88"/>
      <c r="O35" s="1"/>
      <c r="P35" s="89"/>
      <c r="Q35" s="91"/>
      <c r="R35" s="89"/>
      <c r="S35" s="89" t="s">
        <v>59</v>
      </c>
      <c r="T35" s="89"/>
      <c r="U35" s="91"/>
      <c r="V35" s="89"/>
      <c r="W35" s="89"/>
      <c r="X35" s="51">
        <f>X11</f>
        <v>105</v>
      </c>
      <c r="Y35" s="51">
        <f>Y11</f>
        <v>100.99586601791053</v>
      </c>
      <c r="Z35" s="51">
        <f>Z11</f>
        <v>99.01706666666665</v>
      </c>
      <c r="AA35" s="52">
        <f>AA11</f>
        <v>97.03826731542277</v>
      </c>
      <c r="AB35" s="52">
        <f>AB11</f>
        <v>95</v>
      </c>
      <c r="AC35" s="52">
        <f>AC11</f>
        <v>3.372720000000002</v>
      </c>
      <c r="AD35" s="52">
        <f>AD11</f>
        <v>1.5946666666666673</v>
      </c>
    </row>
    <row r="36" ht="16" customHeight="1" spans="1:30" x14ac:dyDescent="0.25">
      <c r="A36" s="1"/>
      <c r="B36" s="45"/>
      <c r="C36" s="46"/>
      <c r="D36" s="46"/>
      <c r="E36" s="46"/>
      <c r="F36" s="46"/>
      <c r="G36" s="46"/>
      <c r="H36" s="47">
        <f>H11</f>
        <v>99.30999999999999</v>
      </c>
      <c r="I36" s="47">
        <f>I11</f>
        <v>1.269999999999996</v>
      </c>
      <c r="J36" s="8"/>
      <c r="K36" s="90" t="s">
        <v>60</v>
      </c>
      <c r="L36" s="87"/>
      <c r="M36" s="9"/>
      <c r="N36" s="88"/>
      <c r="O36" s="1"/>
      <c r="P36" s="89"/>
      <c r="Q36" s="91"/>
      <c r="R36" s="89"/>
      <c r="S36" s="89" t="s">
        <v>59</v>
      </c>
      <c r="T36" s="89"/>
      <c r="U36" s="91"/>
      <c r="V36" s="89"/>
      <c r="W36" s="89"/>
      <c r="X36" s="51">
        <f>X11</f>
        <v>105</v>
      </c>
      <c r="Y36" s="51">
        <f>Y11</f>
        <v>100.99586601791053</v>
      </c>
      <c r="Z36" s="51">
        <f>Z11</f>
        <v>99.01706666666665</v>
      </c>
      <c r="AA36" s="52">
        <f>AA11</f>
        <v>97.03826731542277</v>
      </c>
      <c r="AB36" s="52">
        <f>AB11</f>
        <v>95</v>
      </c>
      <c r="AC36" s="52">
        <f>AC11</f>
        <v>3.372720000000002</v>
      </c>
      <c r="AD36" s="52">
        <f>AD11</f>
        <v>1.5946666666666673</v>
      </c>
    </row>
    <row r="37" ht="16" customHeight="1" spans="1:30" x14ac:dyDescent="0.25">
      <c r="A37" s="1"/>
      <c r="B37" s="45"/>
      <c r="C37" s="46"/>
      <c r="D37" s="46"/>
      <c r="E37" s="46"/>
      <c r="F37" s="46"/>
      <c r="G37" s="46"/>
      <c r="H37" s="47">
        <f>H11</f>
        <v>99.14</v>
      </c>
      <c r="I37" s="47">
        <f>I11</f>
        <v>0.9900000000000091</v>
      </c>
      <c r="J37" s="8"/>
      <c r="K37" s="8" t="s">
        <v>61</v>
      </c>
      <c r="L37" s="87"/>
      <c r="M37" s="9"/>
      <c r="N37" s="88"/>
      <c r="O37" s="1"/>
      <c r="P37" s="89"/>
      <c r="Q37" s="91"/>
      <c r="R37" s="89"/>
      <c r="S37" s="89" t="s">
        <v>59</v>
      </c>
      <c r="T37" s="89"/>
      <c r="U37" s="91"/>
      <c r="V37" s="89"/>
      <c r="W37" s="89"/>
      <c r="X37" s="51">
        <f>X11</f>
        <v>105</v>
      </c>
      <c r="Y37" s="51">
        <f>Y11</f>
        <v>100.99586601791053</v>
      </c>
      <c r="Z37" s="51">
        <f>Z11</f>
        <v>99.01706666666665</v>
      </c>
      <c r="AA37" s="52">
        <f>AA11</f>
        <v>97.03826731542277</v>
      </c>
      <c r="AB37" s="52">
        <f>AB11</f>
        <v>95</v>
      </c>
      <c r="AC37" s="52">
        <f>AC11</f>
        <v>3.372720000000002</v>
      </c>
      <c r="AD37" s="52">
        <f>AD11</f>
        <v>1.5946666666666673</v>
      </c>
    </row>
    <row r="38" ht="16" customHeight="1" spans="1:30" x14ac:dyDescent="0.25">
      <c r="A38" s="1"/>
      <c r="B38" s="45"/>
      <c r="C38" s="46"/>
      <c r="D38" s="46"/>
      <c r="E38" s="46"/>
      <c r="F38" s="46"/>
      <c r="G38" s="46"/>
      <c r="H38" s="47">
        <f>H11</f>
        <v>99.018</v>
      </c>
      <c r="I38" s="47">
        <f>I11</f>
        <v>1.210000000000008</v>
      </c>
      <c r="J38" s="8"/>
      <c r="K38" s="8" t="s">
        <v>62</v>
      </c>
      <c r="L38" s="87"/>
      <c r="M38" s="9"/>
      <c r="N38" s="88"/>
      <c r="O38" s="1"/>
      <c r="P38" s="89"/>
      <c r="Q38" s="91"/>
      <c r="R38" s="89"/>
      <c r="S38" s="89" t="s">
        <v>59</v>
      </c>
      <c r="T38" s="89"/>
      <c r="U38" s="91"/>
      <c r="V38" s="89"/>
      <c r="W38" s="89"/>
      <c r="X38" s="51">
        <f>X11</f>
        <v>105</v>
      </c>
      <c r="Y38" s="51">
        <f>Y11</f>
        <v>100.99586601791053</v>
      </c>
      <c r="Z38" s="51">
        <f>Z11</f>
        <v>99.01706666666665</v>
      </c>
      <c r="AA38" s="52">
        <f>AA11</f>
        <v>97.03826731542277</v>
      </c>
      <c r="AB38" s="52">
        <f>AB11</f>
        <v>95</v>
      </c>
      <c r="AC38" s="52">
        <f>AC11</f>
        <v>3.372720000000002</v>
      </c>
      <c r="AD38" s="52">
        <f>AD11</f>
        <v>1.5946666666666673</v>
      </c>
    </row>
    <row r="39" ht="16" customHeight="1" spans="1:30" x14ac:dyDescent="0.25">
      <c r="A39" s="1"/>
      <c r="B39" s="45"/>
      <c r="C39" s="46"/>
      <c r="D39" s="46"/>
      <c r="E39" s="46"/>
      <c r="F39" s="46"/>
      <c r="G39" s="46"/>
      <c r="H39" s="47">
        <f>H11</f>
        <v>98.63999999999999</v>
      </c>
      <c r="I39" s="47">
        <f>I11</f>
        <v>1.3900000000000006</v>
      </c>
      <c r="J39" s="8"/>
      <c r="K39" s="8"/>
      <c r="L39" s="87"/>
      <c r="M39" s="9"/>
      <c r="N39" s="88"/>
      <c r="O39" s="1"/>
      <c r="P39" s="89"/>
      <c r="Q39" s="91"/>
      <c r="R39" s="89"/>
      <c r="S39" s="89" t="s">
        <v>59</v>
      </c>
      <c r="T39" s="89"/>
      <c r="U39" s="91"/>
      <c r="V39" s="89"/>
      <c r="W39" s="89"/>
      <c r="X39" s="51">
        <f>X11</f>
        <v>105</v>
      </c>
      <c r="Y39" s="51">
        <f>Y11</f>
        <v>100.99586601791053</v>
      </c>
      <c r="Z39" s="51">
        <f>Z11</f>
        <v>99.01706666666665</v>
      </c>
      <c r="AA39" s="52">
        <f>AA11</f>
        <v>97.03826731542277</v>
      </c>
      <c r="AB39" s="52">
        <f>AB11</f>
        <v>95</v>
      </c>
      <c r="AC39" s="52">
        <f>AC11</f>
        <v>3.372720000000002</v>
      </c>
      <c r="AD39" s="52">
        <f>AD11</f>
        <v>1.5946666666666673</v>
      </c>
    </row>
    <row r="40" ht="16" customHeight="1" spans="1:30" x14ac:dyDescent="0.25">
      <c r="A40" s="1"/>
      <c r="B40" s="45"/>
      <c r="C40" s="92"/>
      <c r="D40" s="92"/>
      <c r="E40" s="46"/>
      <c r="F40" s="46"/>
      <c r="G40" s="46"/>
      <c r="H40" s="47">
        <f>H11</f>
        <v>99.14</v>
      </c>
      <c r="I40" s="47">
        <f>I11</f>
        <v>1.5999999999999943</v>
      </c>
      <c r="J40" s="8"/>
      <c r="K40" s="38"/>
      <c r="L40" s="33"/>
      <c r="M40" s="15"/>
      <c r="N40" s="93"/>
      <c r="O40" s="1"/>
      <c r="P40" s="89"/>
      <c r="Q40" s="91"/>
      <c r="R40" s="89"/>
      <c r="S40" s="89"/>
      <c r="T40" s="89"/>
      <c r="U40" s="91"/>
      <c r="V40" s="89"/>
      <c r="W40" s="89"/>
      <c r="X40" s="51">
        <f>X11</f>
        <v>105</v>
      </c>
      <c r="Y40" s="51">
        <f>Y11</f>
        <v>100.99586601791053</v>
      </c>
      <c r="Z40" s="51">
        <f>Z11</f>
        <v>99.01706666666665</v>
      </c>
      <c r="AA40" s="52">
        <f>AA11</f>
        <v>97.03826731542277</v>
      </c>
      <c r="AB40" s="52">
        <f>AB11</f>
        <v>95</v>
      </c>
      <c r="AC40" s="52">
        <f>AC11</f>
        <v>3.372720000000002</v>
      </c>
      <c r="AD40" s="52">
        <f>AD11</f>
        <v>1.5946666666666673</v>
      </c>
    </row>
    <row r="41" ht="13.5" customHeight="1" spans="1:30" x14ac:dyDescent="0.25">
      <c r="A41" s="1"/>
      <c r="B41" s="3"/>
      <c r="C41" s="4"/>
      <c r="D41" s="4"/>
      <c r="E41" s="4"/>
      <c r="F41" s="4"/>
      <c r="G41" s="4"/>
      <c r="H41" s="4"/>
      <c r="I41" s="4"/>
      <c r="J41" s="94"/>
      <c r="K41" s="94"/>
      <c r="L41" s="94"/>
      <c r="M41" s="94"/>
      <c r="N41" s="9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3.5" customHeight="1" spans="1:30" x14ac:dyDescent="0.25">
      <c r="A42" s="1"/>
      <c r="B42" s="8"/>
      <c r="C42" s="9"/>
      <c r="D42" s="9"/>
      <c r="E42" s="9"/>
      <c r="F42" s="9"/>
      <c r="G42" s="9"/>
      <c r="H42" s="9"/>
      <c r="I42" s="9"/>
      <c r="J42" s="1"/>
      <c r="K42" s="1"/>
      <c r="L42" s="1"/>
      <c r="M42" s="1"/>
      <c r="N42" s="96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13.5" customHeight="1" spans="1:30" x14ac:dyDescent="0.25">
      <c r="A43" s="1"/>
      <c r="B43" s="77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96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3.5" customHeight="1" spans="1:30" x14ac:dyDescent="0.25">
      <c r="A44" s="1"/>
      <c r="B44" s="77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96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13.5" customHeight="1" spans="1:30" x14ac:dyDescent="0.25">
      <c r="A45" s="1"/>
      <c r="B45" s="77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96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3.5" customHeight="1" spans="1:30" x14ac:dyDescent="0.25">
      <c r="A46" s="1"/>
      <c r="B46" s="77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96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13.5" customHeight="1" spans="1:30" x14ac:dyDescent="0.25">
      <c r="A47" s="1"/>
      <c r="B47" s="77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96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3.5" customHeight="1" spans="1:30" x14ac:dyDescent="0.25">
      <c r="A48" s="1"/>
      <c r="B48" s="77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96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13.5" customHeight="1" spans="1:30" x14ac:dyDescent="0.25">
      <c r="A49" s="1"/>
      <c r="B49" s="77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96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3.5" customHeight="1" spans="1:30" x14ac:dyDescent="0.25">
      <c r="A50" s="1"/>
      <c r="B50" s="77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96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13.5" customHeight="1" spans="1:30" x14ac:dyDescent="0.25">
      <c r="A51" s="1"/>
      <c r="B51" s="77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96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3.5" customHeight="1" spans="1:30" x14ac:dyDescent="0.25">
      <c r="A52" s="1"/>
      <c r="B52" s="7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6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13.5" customHeight="1" spans="1:30" x14ac:dyDescent="0.25">
      <c r="A53" s="1"/>
      <c r="B53" s="97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9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3.5" customHeight="1" spans="1:30" x14ac:dyDescent="0.25">
      <c r="A54" s="1"/>
      <c r="B54" s="77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96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13.5" customHeight="1" spans="1:30" x14ac:dyDescent="0.25">
      <c r="A55" s="1"/>
      <c r="B55" s="77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96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3.5" customHeight="1" spans="1:30" x14ac:dyDescent="0.25">
      <c r="A56" s="1"/>
      <c r="B56" s="77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96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13.5" customHeight="1" spans="1:30" x14ac:dyDescent="0.25">
      <c r="A57" s="1"/>
      <c r="B57" s="77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96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3.5" customHeight="1" spans="1:30" x14ac:dyDescent="0.25">
      <c r="A58" s="1"/>
      <c r="B58" s="77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96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13.5" customHeight="1" spans="1:30" x14ac:dyDescent="0.25">
      <c r="A59" s="1"/>
      <c r="B59" s="77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96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3.5" customHeight="1" spans="1:30" x14ac:dyDescent="0.25">
      <c r="A60" s="1"/>
      <c r="B60" s="77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96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13.5" customHeight="1" spans="1:30" x14ac:dyDescent="0.25">
      <c r="A61" s="1"/>
      <c r="B61" s="77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96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3.5" customHeight="1" spans="1:30" x14ac:dyDescent="0.25">
      <c r="A62" s="1"/>
      <c r="B62" s="77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96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13.5" customHeight="1" spans="1:30" x14ac:dyDescent="0.25">
      <c r="A63" s="1"/>
      <c r="B63" s="77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96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3.5" customHeight="1" spans="1:30" x14ac:dyDescent="0.25">
      <c r="A64" s="1"/>
      <c r="B64" s="77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96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13.5" customHeight="1" spans="1:30" x14ac:dyDescent="0.25">
      <c r="A65" s="1"/>
      <c r="B65" s="77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96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3.5" customHeight="1" spans="1:30" x14ac:dyDescent="0.25">
      <c r="A66" s="1"/>
      <c r="B66" s="97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9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8" customHeight="1" spans="1:30" x14ac:dyDescent="0.25">
      <c r="A67" s="1"/>
      <c r="B67" s="100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0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25">
      <c r="A69" s="1"/>
      <c r="B69" s="1"/>
      <c r="C69" s="102">
        <f t="shared" ref="C69:F84" si="9">ABS(C11-D11)</f>
        <v>0.5999999999999943</v>
      </c>
      <c r="D69" s="102">
        <f>C69</f>
        <v>0.28999999999999204</v>
      </c>
      <c r="E69" s="102">
        <f>C69</f>
        <v>0.3200000000000074</v>
      </c>
      <c r="F69" s="102">
        <f>C69</f>
        <v>1.0799999999999983</v>
      </c>
      <c r="G69" s="102">
        <f t="shared" ref="G69:G97" si="10">ABS(G11-C12)</f>
        <v>0.21999999999999886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25">
      <c r="A70" s="1"/>
      <c r="B70" s="1"/>
      <c r="C70" s="102">
        <f>C69</f>
        <v>0.8599999999999994</v>
      </c>
      <c r="D70" s="102">
        <f>C69</f>
        <v>1.2900000000000063</v>
      </c>
      <c r="E70" s="102">
        <f>C69</f>
        <v>1.730000000000004</v>
      </c>
      <c r="F70" s="102">
        <f>C69</f>
        <v>0.07000000000000739</v>
      </c>
      <c r="G70" s="102">
        <f>G69</f>
        <v>1.9599999999999937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25">
      <c r="A71" s="1"/>
      <c r="B71" s="1"/>
      <c r="C71" s="102">
        <f>C69</f>
        <v>2.049999999999997</v>
      </c>
      <c r="D71" s="102">
        <f>C69</f>
        <v>1.75</v>
      </c>
      <c r="E71" s="102">
        <f>C69</f>
        <v>1.730000000000004</v>
      </c>
      <c r="F71" s="102">
        <f>C69</f>
        <v>0.6400000000000006</v>
      </c>
      <c r="G71" s="102">
        <f>G69</f>
        <v>0.25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25">
      <c r="A72" s="1"/>
      <c r="B72" s="1"/>
      <c r="C72" s="102">
        <f>C69</f>
        <v>0.8499999999999943</v>
      </c>
      <c r="D72" s="102">
        <f>C69</f>
        <v>1.6899999999999977</v>
      </c>
      <c r="E72" s="102">
        <f>C69</f>
        <v>1.730000000000004</v>
      </c>
      <c r="F72" s="102">
        <f>C69</f>
        <v>0.009999999999990905</v>
      </c>
      <c r="G72" s="102">
        <f>G69</f>
        <v>1.509999999999991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25">
      <c r="A73" s="1"/>
      <c r="B73" s="1"/>
      <c r="C73" s="102">
        <f>C69</f>
        <v>0.4300000000000068</v>
      </c>
      <c r="D73" s="102">
        <f>C69</f>
        <v>0.20000000000000284</v>
      </c>
      <c r="E73" s="102">
        <f>C69</f>
        <v>1.730000000000004</v>
      </c>
      <c r="F73" s="102">
        <f>C69</f>
        <v>1.1899999999999977</v>
      </c>
      <c r="G73" s="102">
        <f>G69</f>
        <v>0.8599999999999994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25">
      <c r="A74" s="1"/>
      <c r="B74" s="1"/>
      <c r="C74" s="102">
        <f>C69</f>
        <v>0.010000000000005116</v>
      </c>
      <c r="D74" s="102">
        <f>C69</f>
        <v>1.3900000000000006</v>
      </c>
      <c r="E74" s="102">
        <f>C69</f>
        <v>1.730000000000004</v>
      </c>
      <c r="F74" s="102">
        <f>C69</f>
        <v>0.6600000000000108</v>
      </c>
      <c r="G74" s="102">
        <f>G69</f>
        <v>1.769999999999996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25">
      <c r="A75" s="1"/>
      <c r="B75" s="1"/>
      <c r="C75" s="102">
        <f>C69</f>
        <v>2.1700000000000017</v>
      </c>
      <c r="D75" s="102">
        <f>C69</f>
        <v>1.4699999999999989</v>
      </c>
      <c r="E75" s="102">
        <f>C69</f>
        <v>1.730000000000004</v>
      </c>
      <c r="F75" s="102">
        <f>C69</f>
        <v>0.18999999999999773</v>
      </c>
      <c r="G75" s="102">
        <f>G69</f>
        <v>2.3400000000000034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25">
      <c r="A76" s="1"/>
      <c r="B76" s="1"/>
      <c r="C76" s="102">
        <f>C69</f>
        <v>2.1099999999999994</v>
      </c>
      <c r="D76" s="102">
        <f>C69</f>
        <v>1.3100000000000023</v>
      </c>
      <c r="E76" s="102">
        <f>C69</f>
        <v>1.730000000000004</v>
      </c>
      <c r="F76" s="102">
        <f>C69</f>
        <v>0.45000000000000284</v>
      </c>
      <c r="G76" s="102">
        <f>G69</f>
        <v>0.3199999999999932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25">
      <c r="A77" s="1"/>
      <c r="B77" s="1"/>
      <c r="C77" s="102">
        <f>C69</f>
        <v>0.37999999999999545</v>
      </c>
      <c r="D77" s="102">
        <f>C69</f>
        <v>1.2199999999999989</v>
      </c>
      <c r="E77" s="102">
        <f>C69</f>
        <v>1.730000000000004</v>
      </c>
      <c r="F77" s="102">
        <f>C69</f>
        <v>0.7600000000000051</v>
      </c>
      <c r="G77" s="102">
        <f>G69</f>
        <v>1.1700000000000017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25">
      <c r="A78" s="1"/>
      <c r="B78" s="1"/>
      <c r="C78" s="102">
        <f>C69</f>
        <v>0.5100000000000051</v>
      </c>
      <c r="D78" s="102">
        <f>C69</f>
        <v>0.3100000000000023</v>
      </c>
      <c r="E78" s="102">
        <f>C69</f>
        <v>1.730000000000004</v>
      </c>
      <c r="F78" s="102">
        <f>C69</f>
        <v>0.030000000000001137</v>
      </c>
      <c r="G78" s="102">
        <f>G69</f>
        <v>0.7000000000000028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25">
      <c r="A79" s="1"/>
      <c r="B79" s="1"/>
      <c r="C79" s="102">
        <f>C69</f>
        <v>0.7999999999999972</v>
      </c>
      <c r="D79" s="102">
        <f>C69</f>
        <v>1.7999999999999972</v>
      </c>
      <c r="E79" s="102">
        <f>C69</f>
        <v>1.730000000000004</v>
      </c>
      <c r="F79" s="102">
        <f>C69</f>
        <v>0.75</v>
      </c>
      <c r="G79" s="102">
        <f>G69</f>
        <v>0.6400000000000006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25">
      <c r="A80" s="1"/>
      <c r="B80" s="1"/>
      <c r="C80" s="102">
        <f>C69</f>
        <v>0.1599999999999966</v>
      </c>
      <c r="D80" s="102">
        <f>C69</f>
        <v>0.7800000000000011</v>
      </c>
      <c r="E80" s="102">
        <f>C69</f>
        <v>0.06999999999999318</v>
      </c>
      <c r="F80" s="102">
        <f>C69</f>
        <v>0.28000000000000114</v>
      </c>
      <c r="G80" s="102">
        <f>G69</f>
        <v>0.8500000000000085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x14ac:dyDescent="0.25">
      <c r="A81" s="1"/>
      <c r="B81" s="1"/>
      <c r="C81" s="102">
        <f>C69</f>
        <v>1.6000000000000085</v>
      </c>
      <c r="D81" s="102">
        <f>C69</f>
        <v>1.0300000000000011</v>
      </c>
      <c r="E81" s="102">
        <f>C69</f>
        <v>0.06999999999999318</v>
      </c>
      <c r="F81" s="102">
        <f>C69</f>
        <v>0.519999999999996</v>
      </c>
      <c r="G81" s="102">
        <f>G69</f>
        <v>0.6700000000000017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x14ac:dyDescent="0.25">
      <c r="A82" s="1"/>
      <c r="B82" s="1"/>
      <c r="C82" s="102">
        <f>C69</f>
        <v>0.28999999999999204</v>
      </c>
      <c r="D82" s="102">
        <f>C69</f>
        <v>0.7000000000000028</v>
      </c>
      <c r="E82" s="102">
        <f>C69</f>
        <v>0.37999999999999545</v>
      </c>
      <c r="F82" s="102">
        <f>C69</f>
        <v>1.1500000000000057</v>
      </c>
      <c r="G82" s="102">
        <f>G69</f>
        <v>0.6700000000000017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x14ac:dyDescent="0.25">
      <c r="A83" s="1"/>
      <c r="B83" s="1"/>
      <c r="C83" s="102">
        <f>C69</f>
        <v>0.6800000000000068</v>
      </c>
      <c r="D83" s="102">
        <f>C69</f>
        <v>0.5499999999999972</v>
      </c>
      <c r="E83" s="102">
        <f>C69</f>
        <v>1.4000000000000057</v>
      </c>
      <c r="F83" s="102">
        <f>C69</f>
        <v>1.3700000000000045</v>
      </c>
      <c r="G83" s="102">
        <f>G69</f>
        <v>0.18000000000000682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x14ac:dyDescent="0.25">
      <c r="A84" s="1"/>
      <c r="B84" s="1"/>
      <c r="C84" s="102">
        <f>C69</f>
        <v>0.23000000000000398</v>
      </c>
      <c r="D84" s="102">
        <f>C69</f>
        <v>0.769999999999996</v>
      </c>
      <c r="E84" s="102">
        <f>C69</f>
        <v>1.6799999999999926</v>
      </c>
      <c r="F84" s="102">
        <f>C69</f>
        <v>0.35999999999999943</v>
      </c>
      <c r="G84" s="102">
        <f>G69</f>
        <v>0.6899999999999977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x14ac:dyDescent="0.25">
      <c r="A85" s="1"/>
      <c r="B85" s="1"/>
      <c r="C85" s="102">
        <f t="shared" ref="C85:F98" si="11">ABS(C27-D27)</f>
        <v>0.730000000000004</v>
      </c>
      <c r="D85" s="102">
        <f>C85</f>
        <v>1.1199999999999903</v>
      </c>
      <c r="E85" s="102">
        <f>C85</f>
        <v>2.069999999999993</v>
      </c>
      <c r="F85" s="102">
        <f>C85</f>
        <v>0.4399999999999977</v>
      </c>
      <c r="G85" s="102">
        <f>G69</f>
        <v>1.0999999999999943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x14ac:dyDescent="0.25">
      <c r="A86" s="1"/>
      <c r="B86" s="1"/>
      <c r="C86" s="102">
        <f>C85</f>
        <v>0.4899999999999949</v>
      </c>
      <c r="D86" s="102">
        <f>C85</f>
        <v>0.5900000000000034</v>
      </c>
      <c r="E86" s="102">
        <f>C85</f>
        <v>0.5700000000000074</v>
      </c>
      <c r="F86" s="102">
        <f>C85</f>
        <v>0.21000000000000796</v>
      </c>
      <c r="G86" s="102">
        <f>G69</f>
        <v>0.6700000000000017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x14ac:dyDescent="0.25">
      <c r="A87" s="1"/>
      <c r="B87" s="1"/>
      <c r="C87" s="102">
        <f>C85</f>
        <v>2.030000000000001</v>
      </c>
      <c r="D87" s="102">
        <f>C85</f>
        <v>1.3599999999999994</v>
      </c>
      <c r="E87" s="102">
        <f>C85</f>
        <v>0.6400000000000006</v>
      </c>
      <c r="F87" s="102">
        <f>C85</f>
        <v>0.269999999999996</v>
      </c>
      <c r="G87" s="102">
        <f>G69</f>
        <v>1.519999999999996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x14ac:dyDescent="0.25">
      <c r="A88" s="1"/>
      <c r="B88" s="1"/>
      <c r="C88" s="102">
        <f>C85</f>
        <v>0.5100000000000051</v>
      </c>
      <c r="D88" s="102">
        <f>C85</f>
        <v>0.730000000000004</v>
      </c>
      <c r="E88" s="102">
        <f>C85</f>
        <v>0.3399999999999892</v>
      </c>
      <c r="F88" s="102">
        <f>C85</f>
        <v>0.06999999999999318</v>
      </c>
      <c r="G88" s="102">
        <f>G69</f>
        <v>0.9000000000000057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x14ac:dyDescent="0.25">
      <c r="A89" s="1"/>
      <c r="B89" s="1"/>
      <c r="C89" s="102">
        <f>C85</f>
        <v>0.12000000000000455</v>
      </c>
      <c r="D89" s="102">
        <f>C85</f>
        <v>0.6400000000000006</v>
      </c>
      <c r="E89" s="102">
        <f>C85</f>
        <v>0.6899999999999977</v>
      </c>
      <c r="F89" s="102">
        <f>C85</f>
        <v>0.9899999999999949</v>
      </c>
      <c r="G89" s="102">
        <f>G69</f>
        <v>0.21000000000000796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x14ac:dyDescent="0.25">
      <c r="A90" s="1"/>
      <c r="B90" s="1"/>
      <c r="C90" s="102">
        <f>C85</f>
        <v>0.030000000000001137</v>
      </c>
      <c r="D90" s="102">
        <f>C85</f>
        <v>0.4200000000000017</v>
      </c>
      <c r="E90" s="102">
        <f>C85</f>
        <v>0.8100000000000023</v>
      </c>
      <c r="F90" s="102">
        <f>C85</f>
        <v>1.1500000000000057</v>
      </c>
      <c r="G90" s="102">
        <f>G69</f>
        <v>0.29999999999999716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x14ac:dyDescent="0.25">
      <c r="A91" s="1"/>
      <c r="B91" s="1"/>
      <c r="C91" s="102">
        <f>C85</f>
        <v>0.11999999999999034</v>
      </c>
      <c r="D91" s="102">
        <f>C85</f>
        <v>0.7299999999999898</v>
      </c>
      <c r="E91" s="102">
        <f>C85</f>
        <v>0.28000000000000114</v>
      </c>
      <c r="F91" s="102">
        <f>C85</f>
        <v>0.5799999999999983</v>
      </c>
      <c r="G91" s="102">
        <f>G69</f>
        <v>1.0999999999999943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x14ac:dyDescent="0.25">
      <c r="A92" s="1"/>
      <c r="B92" s="1"/>
      <c r="C92" s="102">
        <f>C85</f>
        <v>0.5999999999999943</v>
      </c>
      <c r="D92" s="102">
        <f>C85</f>
        <v>0.09999999999999432</v>
      </c>
      <c r="E92" s="102">
        <f>C85</f>
        <v>1.0499999999999972</v>
      </c>
      <c r="F92" s="102">
        <f>C85</f>
        <v>0.5499999999999972</v>
      </c>
      <c r="G92" s="102">
        <f>G69</f>
        <v>0.7900000000000063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x14ac:dyDescent="0.25">
      <c r="A93" s="1"/>
      <c r="B93" s="1"/>
      <c r="C93" s="102">
        <f>C85</f>
        <v>0.960000000000008</v>
      </c>
      <c r="D93" s="102">
        <f>C85</f>
        <v>0.45999999999999375</v>
      </c>
      <c r="E93" s="102">
        <f>C85</f>
        <v>1.2800000000000011</v>
      </c>
      <c r="F93" s="102">
        <f>C85</f>
        <v>0.5900000000000034</v>
      </c>
      <c r="G93" s="102">
        <f>G69</f>
      </c>
      <c r="H93" s="103" t="s">
        <v>63</v>
      </c>
      <c r="I93" s="104"/>
      <c r="J93" s="104"/>
      <c r="K93" s="104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x14ac:dyDescent="0.25">
      <c r="A94" s="1"/>
      <c r="B94" s="1"/>
      <c r="C94" s="102">
        <f>C85</f>
        <v>0.28000000000000114</v>
      </c>
      <c r="D94" s="102">
        <f>C85</f>
        <v>0.29999999999999716</v>
      </c>
      <c r="E94" s="102">
        <f>C85</f>
        <v>1.269999999999996</v>
      </c>
      <c r="F94" s="102">
        <f>C85</f>
        <v>0.46999999999999886</v>
      </c>
      <c r="G94" s="105">
        <f>G69</f>
        <v>0.07000000000000739</v>
      </c>
      <c r="H94" s="106" t="s">
        <v>27</v>
      </c>
      <c r="I94" s="107"/>
      <c r="J94" s="108">
        <f>MAX(C69:G98)</f>
        <v>2.3400000000000034</v>
      </c>
      <c r="K94" s="107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x14ac:dyDescent="0.25">
      <c r="A95" s="1"/>
      <c r="B95" s="1"/>
      <c r="C95" s="102">
        <f>C85</f>
        <v>0.5100000000000051</v>
      </c>
      <c r="D95" s="102">
        <f>C85</f>
        <v>0.28000000000000114</v>
      </c>
      <c r="E95" s="102">
        <f>C85</f>
        <v>0.7600000000000051</v>
      </c>
      <c r="F95" s="102">
        <f>C85</f>
        <v>0.46999999999999886</v>
      </c>
      <c r="G95" s="105">
        <f>G69</f>
        <v>0.6299999999999955</v>
      </c>
      <c r="H95" s="106" t="s">
        <v>28</v>
      </c>
      <c r="I95" s="107"/>
      <c r="J95" s="108">
        <f>MIN(C69:G98)</f>
      </c>
      <c r="K95" s="10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x14ac:dyDescent="0.25">
      <c r="A96" s="1"/>
      <c r="B96" s="1"/>
      <c r="C96" s="102">
        <f>C85</f>
        <v>1.1000000000000085</v>
      </c>
      <c r="D96" s="102">
        <f>C85</f>
        <v>0.10999999999999943</v>
      </c>
      <c r="E96" s="102">
        <f>C85</f>
        <v>0.9699999999999989</v>
      </c>
      <c r="F96" s="102">
        <f>C85</f>
        <v>0.09999999999999432</v>
      </c>
      <c r="G96" s="102">
        <f>G69</f>
        <v>0.8900000000000006</v>
      </c>
      <c r="H96" s="109" t="s">
        <v>29</v>
      </c>
      <c r="I96" s="110"/>
      <c r="J96" s="111">
        <f>COUNT(C69:G98)</f>
        <v>149</v>
      </c>
      <c r="K96" s="11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x14ac:dyDescent="0.25">
      <c r="A97" s="1"/>
      <c r="B97" s="1"/>
      <c r="C97" s="102">
        <f>C85</f>
        <v>0.9099999999999966</v>
      </c>
      <c r="D97" s="102">
        <f>C85</f>
        <v>0.3400000000000034</v>
      </c>
      <c r="E97" s="102">
        <f>C85</f>
        <v>0.8200000000000074</v>
      </c>
      <c r="F97" s="102">
        <f>C85</f>
        <v>0.5100000000000051</v>
      </c>
      <c r="G97" s="102">
        <f>G69</f>
        <v>0.01999999999999602</v>
      </c>
      <c r="H97" s="109" t="s">
        <v>30</v>
      </c>
      <c r="I97" s="110"/>
      <c r="J97" s="108">
        <f>AVERAGE(C69:G98)</f>
        <v>0.809530201342282</v>
      </c>
      <c r="K97" s="11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x14ac:dyDescent="0.25">
      <c r="A98" s="1"/>
      <c r="B98" s="1"/>
      <c r="C98" s="102">
        <f>C85</f>
        <v>0.04999999999999716</v>
      </c>
      <c r="D98" s="102">
        <f>C85</f>
        <v>0.39000000000000057</v>
      </c>
      <c r="E98" s="102">
        <f>C85</f>
        <v>1.2099999999999937</v>
      </c>
      <c r="F98" s="102">
        <f>C85</f>
        <v>1.4399999999999977</v>
      </c>
      <c r="G98" s="113"/>
      <c r="H98" s="109" t="s">
        <v>64</v>
      </c>
      <c r="I98" s="110"/>
      <c r="J98" s="108">
        <f>STDEV(C69:G98)</f>
        <v>0.582359292332062</v>
      </c>
      <c r="K98" s="112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</sheetData>
  <mergeCells count="1">
    <mergeCell ref="K25:K26"/>
  </mergeCells>
  <printOptions horizontalCentered="1" verticalCentered="1"/>
  <pageMargins left="0.4330708661417323" right="0.4330708661417323" top="0.4" bottom="0.25" header="0.41" footer="0"/>
  <pageSetup paperSize="9" orientation="portrait" horizontalDpi="300" verticalDpi="300" scale="76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L4102-01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2026-08-23T11:25:12Z</dcterms:created>
  <dcterms:modified xsi:type="dcterms:W3CDTF">2026-08-23T11:25:12Z</dcterms:modified>
</cp:coreProperties>
</file>