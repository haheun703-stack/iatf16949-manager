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200-05" state="visible" r:id="rId4"/>
  </sheets>
  <calcPr calcId="171027"/>
</workbook>
</file>

<file path=xl/sharedStrings.xml><?xml version="1.0" encoding="utf-8"?>
<sst xmlns="http://schemas.openxmlformats.org/spreadsheetml/2006/main" count="35" uniqueCount="35">
  <si>
    <r>
      <rPr>
        <b/>
        <family val="2"/>
        <sz val="16"/>
        <rFont val="Noto Sans CJK SC"/>
      </rPr>
      <t xml:space="preserve">품질실적 월보 </t>
    </r>
    <r>
      <rPr>
        <b/>
        <charset val="1"/>
        <sz val="16"/>
        <rFont val="맑은 고딕"/>
      </rPr>
      <t>(</t>
    </r>
    <r>
      <rPr>
        <b/>
        <family val="2"/>
        <sz val="16"/>
        <rFont val="Noto Sans CJK SC"/>
      </rPr>
      <t>공정</t>
    </r>
    <r>
      <rPr>
        <b/>
        <charset val="1"/>
        <sz val="16"/>
        <rFont val="맑은 고딕"/>
      </rPr>
      <t>/</t>
    </r>
    <r>
      <rPr>
        <b/>
        <family val="2"/>
        <sz val="16"/>
        <rFont val="Noto Sans CJK SC"/>
      </rPr>
      <t>고객</t>
    </r>
    <r>
      <rPr>
        <b/>
        <charset val="1"/>
        <sz val="16"/>
        <rFont val="맑은 고딕"/>
      </rPr>
      <t>/</t>
    </r>
    <r>
      <rPr>
        <b/>
        <family val="2"/>
        <sz val="16"/>
        <rFont val="Noto Sans CJK SC"/>
      </rPr>
      <t xml:space="preserve">외주 </t>
    </r>
    <r>
      <rPr>
        <b/>
        <charset val="1"/>
        <sz val="16"/>
        <rFont val="맑은 고딕"/>
      </rPr>
      <t>PPM)</t>
    </r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</si>
  <si>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B2200-05(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6_7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</si>
  <si>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r>
      <rPr>
        <b/>
        <family val="2"/>
        <sz val="9"/>
        <rFont val="Noto Sans CJK SC"/>
      </rPr>
      <t>대상연도</t>
    </r>
    <r>
      <rPr>
        <b/>
        <charset val="1"/>
        <sz val="9"/>
        <rFont val="맑은 고딕"/>
      </rPr>
      <t>:</t>
    </r>
  </si>
  <si>
    <r>
      <rPr>
        <b/>
        <family val="2"/>
        <sz val="9"/>
        <rFont val="Noto Sans CJK SC"/>
      </rPr>
      <t xml:space="preserve">연간 목표 </t>
    </r>
    <r>
      <rPr>
        <b/>
        <charset val="1"/>
        <sz val="9"/>
        <rFont val="맑은 고딕"/>
      </rPr>
      <t>PPM (</t>
    </r>
    <r>
      <rPr>
        <b/>
        <family val="2"/>
        <sz val="9"/>
        <rFont val="Noto Sans CJK SC"/>
      </rPr>
      <t>공정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고객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외주</t>
    </r>
    <r>
      <rPr>
        <b/>
        <charset val="1"/>
        <sz val="9"/>
        <rFont val="맑은 고딕"/>
      </rPr>
      <t>):</t>
    </r>
  </si>
  <si>
    <t>월</t>
  </si>
  <si>
    <t>공정 생산수량</t>
  </si>
  <si>
    <r>
      <rPr>
        <b/>
        <family val="2"/>
        <sz val="9"/>
        <rFont val="Noto Sans CJK SC"/>
      </rPr>
      <t xml:space="preserve">공정 불량수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재작업 포함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</si>
  <si>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공정 </t>
    </r>
    <r>
      <rPr>
        <b/>
        <charset val="1"/>
        <sz val="9"/>
        <rFont val="맑은 고딕"/>
      </rPr>
      <t>PPM</t>
    </r>
  </si>
  <si>
    <t>납품수량</t>
  </si>
  <si>
    <t>고객 불량수</t>
  </si>
  <si>
    <r>
      <rPr>
        <b/>
        <family val="2"/>
        <sz val="9"/>
        <rFont val="Noto Sans CJK SC"/>
      </rPr>
      <t xml:space="preserve">고객 </t>
    </r>
    <r>
      <rPr>
        <b/>
        <charset val="1"/>
        <sz val="9"/>
        <rFont val="맑은 고딕"/>
      </rPr>
      <t>PPM</t>
    </r>
  </si>
  <si>
    <t>외주 입고수량</t>
  </si>
  <si>
    <t>외주 불량수</t>
  </si>
  <si>
    <r>
      <rPr>
        <b/>
        <family val="2"/>
        <sz val="9"/>
        <rFont val="Noto Sans CJK SC"/>
      </rPr>
      <t xml:space="preserve">외주 </t>
    </r>
    <r>
      <rPr>
        <b/>
        <charset val="1"/>
        <sz val="9"/>
        <rFont val="맑은 고딕"/>
      </rPr>
      <t>PPM</t>
    </r>
  </si>
  <si>
    <t xml:space="preserve">공정 목표
달성</t>
  </si>
  <si>
    <t>워스트 항목</t>
  </si>
  <si>
    <r>
      <rPr>
        <b/>
        <family val="2"/>
        <sz val="9"/>
        <rFont val="Noto Sans CJK SC"/>
      </rPr>
      <t xml:space="preserve">개선대책 </t>
    </r>
    <r>
      <rPr>
        <b/>
        <charset val="1"/>
        <sz val="9"/>
        <rFont val="맑은 고딕"/>
      </rPr>
      <t>No.</t>
    </r>
  </si>
  <si>
    <t>경영보고</t>
  </si>
  <si>
    <r>
      <rPr>
        <i/>
        <charset val="1"/>
        <color rgb="FF808080"/>
        <sz val="9"/>
        <rFont val="맑은 고딕"/>
      </rPr>
      <t>1</t>
    </r>
    <r>
      <rPr>
        <i/>
        <color rgb="FF808080"/>
        <family val="2"/>
        <sz val="9"/>
        <rFont val="Noto Sans CJK SC"/>
      </rPr>
      <t>월</t>
    </r>
  </si>
  <si>
    <r>
      <rPr>
        <charset val="1"/>
        <sz val="9"/>
        <rFont val="맑은 고딕"/>
      </rPr>
      <t>2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</si>
  <si>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3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</si>
  <si>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4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</si>
  <si>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5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</si>
  <si>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6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</si>
  <si>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7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</si>
  <si>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8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</si>
  <si>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9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</si>
  <si>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10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</si>
  <si>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11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</si>
  <si>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12</t>
    </r>
    <r>
      <rPr>
        <family val="2"/>
        <sz val="9"/>
        <rFont val="Noto Sans CJK SC"/>
      </rPr>
      <t>월</t>
    </r>
  </si>
  <si>
    <t>연간</t>
  </si>
  <si>
    <r>
      <rPr>
        <color rgb="FF555555"/>
        <family val="2"/>
        <sz val="8"/>
        <rFont val="Noto Sans CJK SC"/>
      </rPr>
      <t>■ 공정 불량수에 재작업</t>
    </r>
    <r>
      <rPr>
        <charset val="1"/>
        <color rgb="FF555555"/>
        <sz val="8"/>
        <rFont val="맑은 고딕"/>
      </rPr>
      <t>(</t>
    </r>
    <r>
      <rPr>
        <color rgb="FF555555"/>
        <family val="2"/>
        <sz val="8"/>
        <rFont val="Noto Sans CJK SC"/>
      </rPr>
      <t>리워크</t>
    </r>
    <r>
      <rPr>
        <charset val="1"/>
        <color rgb="FF555555"/>
        <sz val="8"/>
        <rFont val="맑은 고딕"/>
      </rPr>
      <t xml:space="preserve">) </t>
    </r>
    <r>
      <rPr>
        <color rgb="FF555555"/>
        <family val="2"/>
        <sz val="8"/>
        <rFont val="Noto Sans CJK SC"/>
      </rPr>
      <t>수량 필수 포함 — 리워크 대장</t>
    </r>
    <r>
      <rPr>
        <charset val="1"/>
        <color rgb="FF555555"/>
        <sz val="8"/>
        <rFont val="맑은 고딕"/>
      </rPr>
      <t>(B1100-10)</t>
    </r>
    <r>
      <rPr>
        <color rgb="FF555555"/>
        <family val="2"/>
        <sz val="8"/>
        <rFont val="Noto Sans CJK SC"/>
      </rPr>
      <t>과 월 수량 일치 확인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목표 미달 월은 워스트 항목 </t>
    </r>
    <r>
      <rPr>
        <charset val="1"/>
        <color rgb="FF555555"/>
        <sz val="8"/>
        <rFont val="맑은 고딕"/>
      </rPr>
      <t>5Why/</t>
    </r>
    <r>
      <rPr>
        <color rgb="FF555555"/>
        <family val="2"/>
        <sz val="8"/>
        <rFont val="Noto Sans CJK SC"/>
      </rPr>
      <t xml:space="preserve">특성요인도 분석 </t>
    </r>
    <r>
      <rPr>
        <charset val="1"/>
        <color rgb="FF555555"/>
        <sz val="8"/>
        <rFont val="맑은 고딕"/>
      </rPr>
      <t xml:space="preserve">+ </t>
    </r>
    <r>
      <rPr>
        <color rgb="FF555555"/>
        <family val="2"/>
        <sz val="8"/>
        <rFont val="Noto Sans CJK SC"/>
      </rPr>
      <t xml:space="preserve">대책 </t>
    </r>
    <r>
      <rPr>
        <charset val="1"/>
        <color rgb="FF555555"/>
        <sz val="8"/>
        <rFont val="맑은 고딕"/>
      </rPr>
      <t xml:space="preserve">+ </t>
    </r>
    <r>
      <rPr>
        <color rgb="FF555555"/>
        <family val="2"/>
        <sz val="8"/>
        <rFont val="Noto Sans CJK SC"/>
      </rPr>
      <t>익월 효과확인 세트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월 </t>
    </r>
    <r>
      <rPr>
        <charset val="1"/>
        <color rgb="FF555555"/>
        <sz val="8"/>
        <rFont val="맑은 고딕"/>
      </rPr>
      <t>1</t>
    </r>
    <r>
      <rPr>
        <color rgb="FF555555"/>
        <family val="2"/>
        <sz val="8"/>
        <rFont val="Noto Sans CJK SC"/>
      </rPr>
      <t>회 경영진 보고</t>
    </r>
    <r>
      <rPr>
        <charset val="1"/>
        <color rgb="FF555555"/>
        <sz val="8"/>
        <rFont val="맑은 고딕"/>
      </rPr>
      <t>.</t>
    </r>
  </si>
  <si>
    <t>작성</t>
  </si>
  <si>
    <t>검토</t>
  </si>
  <si>
    <t>승인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</si>
</sst>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2"/>
      <sz val="16"/>
      <name val="Noto Sans CJK SC"/>
    </font>
    <font>
      <color rgb="FF555555"/>
      <family val="2"/>
      <sz val="8"/>
      <name val="Noto Sans CJK SC"/>
    </font>
    <font>
      <b/>
      <family val="2"/>
      <sz val="9"/>
      <name val="Noto Sans CJK SC"/>
    </font>
    <font>
      <charset val="1"/>
      <color theme="1"/>
      <family val="2"/>
      <sz val="11"/>
      <name val="Calibri"/>
    </font>
    <font>
      <i/>
      <charset val="1"/>
      <color rgb="FF808080"/>
      <sz val="9"/>
      <name val="맑은 고딕"/>
    </font>
    <font>
      <charset val="1"/>
      <sz val="9"/>
      <name val="맑은 고딕"/>
    </font>
    <font>
      <i/>
      <color rgb="FF808080"/>
      <family val="2"/>
      <sz val="9"/>
      <name val="Noto Sans CJK SC"/>
    </font>
    <font>
      <b/>
      <charset val="1"/>
      <sz val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FFFDE7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bottom"/>
    </xf>
    <xf numFmtId="0" fontId="4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bottom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bottom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8" fillId="0" borderId="1" xfId="0" applyFont="1" applyBorder="1" applyAlignment="1">
      <alignment vertical="bottom"/>
    </xf>
    <xf numFmtId="0" fontId="2" fillId="0" borderId="0" xfId="0" applyFont="1" applyAlignment="1">
      <alignment vertical="bottom"/>
    </xf>
    <xf numFmtId="0" fontId="4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6" customWidth="1"/>
    <col min="2" max="3" width="11" customWidth="1"/>
    <col min="5" max="5" width="10" customWidth="1"/>
    <col min="8" max="8" width="11" customWidth="1"/>
    <col min="11" max="11" width="8" customWidth="1"/>
    <col min="12" max="12" width="14" customWidth="1"/>
    <col min="13" max="13" width="10" customWidth="1"/>
    <col min="14" max="14" width="8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75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" customHeight="1" spans="1:14" x14ac:dyDescent="0.25">
      <c r="A3" s="3" t="s">
        <v>2</v>
      </c>
      <c r="B3" s="4"/>
      <c r="D3" s="3" t="s">
        <v>3</v>
      </c>
      <c r="G3" s="4"/>
      <c r="H3" s="4"/>
      <c r="I3" s="4"/>
    </row>
    <row r="4" ht="27.75" customHeight="1" spans="1:14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</row>
    <row r="5" ht="15" customHeight="1" spans="1:14" x14ac:dyDescent="0.25">
      <c r="A5" s="6" t="s">
        <v>18</v>
      </c>
      <c r="B5" s="6"/>
      <c r="C5" s="6"/>
      <c r="D5" s="7">
        <f>IF(B5="","",ROUND(C5/B5*1000000,0))</f>
        <v>1250</v>
      </c>
      <c r="E5" s="6"/>
      <c r="F5" s="6"/>
      <c r="G5" s="7">
        <f>IF(E5="","",ROUND(F5/E5*1000000,0))</f>
        <v>38</v>
      </c>
      <c r="H5" s="6"/>
      <c r="I5" s="6"/>
      <c r="J5" s="7">
        <f>IF(H5="","",ROUND(I5/H5*1000000,0))</f>
        <v>450</v>
      </c>
      <c r="K5" s="7" t="str">
        <f>IF(D5="","",IF(D5&lt;=$G$3,"○","× 미달"))</f>
        <v>× 미달</v>
      </c>
      <c r="L5" s="8"/>
      <c r="M5" s="6"/>
      <c r="N5" s="6"/>
    </row>
    <row r="6" ht="15" customHeight="1" spans="1:14" x14ac:dyDescent="0.25">
      <c r="A6" s="9" t="s">
        <v>19</v>
      </c>
      <c r="B6" s="10"/>
      <c r="C6" s="10"/>
      <c r="D6" s="9">
        <f>IF(B6="","",ROUND(C6/B6*1000000,0))</f>
      </c>
      <c r="E6" s="10"/>
      <c r="F6" s="10"/>
      <c r="G6" s="9">
        <f>IF(E6="","",ROUND(F6/E6*1000000,0))</f>
      </c>
      <c r="H6" s="10"/>
      <c r="I6" s="10"/>
      <c r="J6" s="9">
        <f>IF(H6="","",ROUND(I6/H6*1000000,0))</f>
      </c>
      <c r="K6" s="9">
        <f>IF(D6="","",IF(D6&lt;=$G$3,"○","× 미달"))</f>
      </c>
      <c r="L6" s="10"/>
      <c r="M6" s="10"/>
      <c r="N6" s="10"/>
    </row>
    <row r="7" ht="15" customHeight="1" spans="1:14" x14ac:dyDescent="0.25">
      <c r="A7" s="9" t="s">
        <v>20</v>
      </c>
      <c r="B7" s="10"/>
      <c r="C7" s="10"/>
      <c r="D7" s="9">
        <f>IF(B7="","",ROUND(C7/B7*1000000,0))</f>
      </c>
      <c r="E7" s="10"/>
      <c r="F7" s="10"/>
      <c r="G7" s="9">
        <f>IF(E7="","",ROUND(F7/E7*1000000,0))</f>
      </c>
      <c r="H7" s="10"/>
      <c r="I7" s="10"/>
      <c r="J7" s="9">
        <f>IF(H7="","",ROUND(I7/H7*1000000,0))</f>
      </c>
      <c r="K7" s="9">
        <f>IF(D7="","",IF(D7&lt;=$G$3,"○","× 미달"))</f>
      </c>
      <c r="L7" s="10"/>
      <c r="M7" s="10"/>
      <c r="N7" s="10"/>
    </row>
    <row r="8" ht="15" customHeight="1" spans="1:14" x14ac:dyDescent="0.25">
      <c r="A8" s="9" t="s">
        <v>21</v>
      </c>
      <c r="B8" s="10"/>
      <c r="C8" s="10"/>
      <c r="D8" s="9">
        <f>IF(B8="","",ROUND(C8/B8*1000000,0))</f>
      </c>
      <c r="E8" s="10"/>
      <c r="F8" s="10"/>
      <c r="G8" s="9">
        <f>IF(E8="","",ROUND(F8/E8*1000000,0))</f>
      </c>
      <c r="H8" s="10"/>
      <c r="I8" s="10"/>
      <c r="J8" s="9">
        <f>IF(H8="","",ROUND(I8/H8*1000000,0))</f>
      </c>
      <c r="K8" s="9">
        <f>IF(D8="","",IF(D8&lt;=$G$3,"○","× 미달"))</f>
      </c>
      <c r="L8" s="10"/>
      <c r="M8" s="10"/>
      <c r="N8" s="10"/>
    </row>
    <row r="9" ht="15" customHeight="1" spans="1:14" x14ac:dyDescent="0.25">
      <c r="A9" s="9" t="s">
        <v>22</v>
      </c>
      <c r="B9" s="10"/>
      <c r="C9" s="10"/>
      <c r="D9" s="9">
        <f>IF(B9="","",ROUND(C9/B9*1000000,0))</f>
      </c>
      <c r="E9" s="10"/>
      <c r="F9" s="10"/>
      <c r="G9" s="9">
        <f>IF(E9="","",ROUND(F9/E9*1000000,0))</f>
      </c>
      <c r="H9" s="10"/>
      <c r="I9" s="10"/>
      <c r="J9" s="9">
        <f>IF(H9="","",ROUND(I9/H9*1000000,0))</f>
      </c>
      <c r="K9" s="9">
        <f>IF(D9="","",IF(D9&lt;=$G$3,"○","× 미달"))</f>
      </c>
      <c r="L9" s="10"/>
      <c r="M9" s="10"/>
      <c r="N9" s="10"/>
    </row>
    <row r="10" ht="15" customHeight="1" spans="1:14" x14ac:dyDescent="0.25">
      <c r="A10" s="9" t="s">
        <v>23</v>
      </c>
      <c r="B10" s="10"/>
      <c r="C10" s="10"/>
      <c r="D10" s="9">
        <f>IF(B10="","",ROUND(C10/B10*1000000,0))</f>
      </c>
      <c r="E10" s="10"/>
      <c r="F10" s="10"/>
      <c r="G10" s="9">
        <f>IF(E10="","",ROUND(F10/E10*1000000,0))</f>
      </c>
      <c r="H10" s="10"/>
      <c r="I10" s="10"/>
      <c r="J10" s="9">
        <f>IF(H10="","",ROUND(I10/H10*1000000,0))</f>
      </c>
      <c r="K10" s="9">
        <f>IF(D10="","",IF(D10&lt;=$G$3,"○","× 미달"))</f>
      </c>
      <c r="L10" s="10"/>
      <c r="M10" s="10"/>
      <c r="N10" s="10"/>
    </row>
    <row r="11" ht="15" customHeight="1" spans="1:14" x14ac:dyDescent="0.25">
      <c r="A11" s="9" t="s">
        <v>24</v>
      </c>
      <c r="B11" s="10"/>
      <c r="C11" s="10"/>
      <c r="D11" s="9">
        <f>IF(B11="","",ROUND(C11/B11*1000000,0))</f>
      </c>
      <c r="E11" s="10"/>
      <c r="F11" s="10"/>
      <c r="G11" s="9">
        <f>IF(E11="","",ROUND(F11/E11*1000000,0))</f>
      </c>
      <c r="H11" s="10"/>
      <c r="I11" s="10"/>
      <c r="J11" s="9">
        <f>IF(H11="","",ROUND(I11/H11*1000000,0))</f>
      </c>
      <c r="K11" s="9">
        <f>IF(D11="","",IF(D11&lt;=$G$3,"○","× 미달"))</f>
      </c>
      <c r="L11" s="10"/>
      <c r="M11" s="10"/>
      <c r="N11" s="10"/>
    </row>
    <row r="12" ht="15" customHeight="1" spans="1:14" x14ac:dyDescent="0.25">
      <c r="A12" s="9" t="s">
        <v>25</v>
      </c>
      <c r="B12" s="10"/>
      <c r="C12" s="10"/>
      <c r="D12" s="9">
        <f>IF(B12="","",ROUND(C12/B12*1000000,0))</f>
      </c>
      <c r="E12" s="10"/>
      <c r="F12" s="10"/>
      <c r="G12" s="9">
        <f>IF(E12="","",ROUND(F12/E12*1000000,0))</f>
      </c>
      <c r="H12" s="10"/>
      <c r="I12" s="10"/>
      <c r="J12" s="9">
        <f>IF(H12="","",ROUND(I12/H12*1000000,0))</f>
      </c>
      <c r="K12" s="9">
        <f>IF(D12="","",IF(D12&lt;=$G$3,"○","× 미달"))</f>
      </c>
      <c r="L12" s="10"/>
      <c r="M12" s="10"/>
      <c r="N12" s="10"/>
    </row>
    <row r="13" ht="15" customHeight="1" spans="1:14" x14ac:dyDescent="0.25">
      <c r="A13" s="9" t="s">
        <v>26</v>
      </c>
      <c r="B13" s="10"/>
      <c r="C13" s="10"/>
      <c r="D13" s="9">
        <f>IF(B13="","",ROUND(C13/B13*1000000,0))</f>
      </c>
      <c r="E13" s="10"/>
      <c r="F13" s="10"/>
      <c r="G13" s="9">
        <f>IF(E13="","",ROUND(F13/E13*1000000,0))</f>
      </c>
      <c r="H13" s="10"/>
      <c r="I13" s="10"/>
      <c r="J13" s="9">
        <f>IF(H13="","",ROUND(I13/H13*1000000,0))</f>
      </c>
      <c r="K13" s="9">
        <f>IF(D13="","",IF(D13&lt;=$G$3,"○","× 미달"))</f>
      </c>
      <c r="L13" s="10"/>
      <c r="M13" s="10"/>
      <c r="N13" s="10"/>
    </row>
    <row r="14" ht="15" customHeight="1" spans="1:14" x14ac:dyDescent="0.25">
      <c r="A14" s="9" t="s">
        <v>27</v>
      </c>
      <c r="B14" s="10"/>
      <c r="C14" s="10"/>
      <c r="D14" s="9">
        <f>IF(B14="","",ROUND(C14/B14*1000000,0))</f>
      </c>
      <c r="E14" s="10"/>
      <c r="F14" s="10"/>
      <c r="G14" s="9">
        <f>IF(E14="","",ROUND(F14/E14*1000000,0))</f>
      </c>
      <c r="H14" s="10"/>
      <c r="I14" s="10"/>
      <c r="J14" s="9">
        <f>IF(H14="","",ROUND(I14/H14*1000000,0))</f>
      </c>
      <c r="K14" s="9">
        <f>IF(D14="","",IF(D14&lt;=$G$3,"○","× 미달"))</f>
      </c>
      <c r="L14" s="10"/>
      <c r="M14" s="10"/>
      <c r="N14" s="10"/>
    </row>
    <row r="15" ht="15" customHeight="1" spans="1:14" x14ac:dyDescent="0.25">
      <c r="A15" s="9" t="s">
        <v>28</v>
      </c>
      <c r="B15" s="10"/>
      <c r="C15" s="10"/>
      <c r="D15" s="9">
        <f>IF(B15="","",ROUND(C15/B15*1000000,0))</f>
      </c>
      <c r="E15" s="10"/>
      <c r="F15" s="10"/>
      <c r="G15" s="9">
        <f>IF(E15="","",ROUND(F15/E15*1000000,0))</f>
      </c>
      <c r="H15" s="10"/>
      <c r="I15" s="10"/>
      <c r="J15" s="9">
        <f>IF(H15="","",ROUND(I15/H15*1000000,0))</f>
      </c>
      <c r="K15" s="9">
        <f>IF(D15="","",IF(D15&lt;=$G$3,"○","× 미달"))</f>
      </c>
      <c r="L15" s="10"/>
      <c r="M15" s="10"/>
      <c r="N15" s="10"/>
    </row>
    <row r="16" ht="15" customHeight="1" spans="1:14" x14ac:dyDescent="0.25">
      <c r="A16" s="9" t="s">
        <v>29</v>
      </c>
      <c r="B16" s="10"/>
      <c r="C16" s="10"/>
      <c r="D16" s="9">
        <f>IF(B16="","",ROUND(C16/B16*1000000,0))</f>
      </c>
      <c r="E16" s="10"/>
      <c r="F16" s="10"/>
      <c r="G16" s="9">
        <f>IF(E16="","",ROUND(F16/E16*1000000,0))</f>
      </c>
      <c r="H16" s="10"/>
      <c r="I16" s="10"/>
      <c r="J16" s="9">
        <f>IF(H16="","",ROUND(I16/H16*1000000,0))</f>
      </c>
      <c r="K16" s="9">
        <f>IF(D16="","",IF(D16&lt;=$G$3,"○","× 미달"))</f>
      </c>
      <c r="L16" s="10"/>
      <c r="M16" s="10"/>
      <c r="N16" s="10"/>
    </row>
    <row r="17" ht="15" customHeight="1" spans="1:14" x14ac:dyDescent="0.25">
      <c r="A17" s="11" t="s">
        <v>30</v>
      </c>
      <c r="B17" s="12">
        <f>SUM(B5:B16)</f>
        <v>80000</v>
      </c>
      <c r="C17" s="12">
        <f>SUM(C5:C16)</f>
        <v>100</v>
      </c>
      <c r="D17" s="12">
        <f>IF(B17=0,"",ROUND(C17/B17*1000000,0))</f>
        <v>1250</v>
      </c>
      <c r="E17" s="12">
        <f>SUM(E5:E16)</f>
        <v>78000</v>
      </c>
      <c r="F17" s="12">
        <f>SUM(F5:F16)</f>
        <v>3</v>
      </c>
      <c r="G17" s="12">
        <f>IF(E17=0,"",ROUND(F17/E17*1000000,0))</f>
        <v>38</v>
      </c>
      <c r="H17" s="12">
        <f>SUM(H5:H16)</f>
        <v>40000</v>
      </c>
      <c r="I17" s="12">
        <f>SUM(I5:I16)</f>
        <v>18</v>
      </c>
      <c r="J17" s="12">
        <f>IF(H17=0,"",ROUND(I17/H17*1000000,0))</f>
        <v>450</v>
      </c>
      <c r="K17" s="12"/>
      <c r="L17" s="12"/>
      <c r="M17" s="12"/>
      <c r="N17" s="12"/>
    </row>
    <row r="18" spans="1:14" x14ac:dyDescent="0.25"/>
    <row r="19" ht="15" customHeight="1" spans="1:14" x14ac:dyDescent="0.25">
      <c r="A19" s="13" t="s">
        <v>31</v>
      </c>
    </row>
    <row r="20" spans="1:14" x14ac:dyDescent="0.25"/>
    <row r="21" ht="15" customHeight="1" spans="1:14" x14ac:dyDescent="0.25">
      <c r="I21" s="5" t="s">
        <v>32</v>
      </c>
      <c r="J21" s="5"/>
      <c r="K21" s="5" t="s">
        <v>33</v>
      </c>
      <c r="L21" s="5"/>
      <c r="M21" s="5" t="s">
        <v>34</v>
      </c>
      <c r="N21" s="5"/>
    </row>
    <row r="22" ht="15" customHeight="1" spans="1:14" x14ac:dyDescent="0.25">
      <c r="I22" s="14"/>
      <c r="J22" s="14"/>
      <c r="K22" s="14"/>
      <c r="L22" s="14"/>
      <c r="M22" s="14"/>
      <c r="N22" s="14"/>
    </row>
    <row r="23" ht="15" customHeight="1" spans="1:14" x14ac:dyDescent="0.25">
      <c r="I23" s="14"/>
      <c r="J23" s="14"/>
      <c r="K23" s="14"/>
      <c r="L23" s="14"/>
      <c r="M23" s="14"/>
      <c r="N23" s="14"/>
    </row>
    <row r="24" ht="15" customHeight="1" spans="1:14" x14ac:dyDescent="0.25">
      <c r="I24" s="14"/>
      <c r="J24" s="14"/>
      <c r="K24" s="14"/>
      <c r="L24" s="14"/>
      <c r="M24" s="14"/>
      <c r="N24" s="14"/>
    </row>
  </sheetData>
  <mergeCells count="8">
    <mergeCell ref="A1:N1"/>
    <mergeCell ref="A2:N2"/>
    <mergeCell ref="I21:J21"/>
    <mergeCell ref="K21:L21"/>
    <mergeCell ref="M21:N21"/>
    <mergeCell ref="I22:J24"/>
    <mergeCell ref="K22:L24"/>
    <mergeCell ref="M22:N2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B2200-05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2026-08-24T04:11:05Z</dcterms:created>
  <dcterms:modified xsi:type="dcterms:W3CDTF">2026-08-24T04:11:05Z</dcterms:modified>
</cp:coreProperties>
</file>