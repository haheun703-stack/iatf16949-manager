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2100-09" state="visible" r:id="rId4"/>
  </sheets>
  <definedNames>
    <definedName name="_xlnm.Print_Area" localSheetId="0">'F2100-09'!$A1:$S12</definedName>
  </definedNames>
  <calcPr calcId="171027"/>
</workbook>
</file>

<file path=xl/sharedStrings.xml><?xml version="1.0" encoding="utf-8"?>
<sst xmlns="http://schemas.openxmlformats.org/spreadsheetml/2006/main" count="21" uniqueCount="16">
  <si>
    <t>생산 작업자 현장 직무현황</t>
  </si>
  <si>
    <t>공정명</t>
  </si>
  <si>
    <t>CODE</t>
  </si>
  <si>
    <t>이   름</t>
  </si>
  <si>
    <t>사   진</t>
  </si>
  <si>
    <t>현장 직무 평가표</t>
  </si>
  <si>
    <t>평 가 항 목</t>
  </si>
  <si>
    <t>합계</t>
  </si>
  <si>
    <t>등급</t>
  </si>
  <si>
    <t>목표</t>
  </si>
  <si>
    <t>작업표준</t>
  </si>
  <si>
    <t>설비관리</t>
  </si>
  <si>
    <t>품질관리</t>
  </si>
  <si>
    <t>관리</t>
  </si>
  <si>
    <t xml:space="preserve">현장
관리자</t>
  </si>
  <si>
    <t>실적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</si>
</sst>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작&quot;&quot;성&quot;&quot;일&quot;&quot;자&quot; : yyyy&quot;년&quot; mm&quot;월&quot; dd&quot;일&quot;;@"/>
    <numFmt numFmtId="165" formatCode="General&quot;점&quot;"/>
    <numFmt numFmtId="166" formatCode="00&quot;점&quot;"/>
  </numFmts>
  <fonts count="4" x14ac:knownFonts="1">
    <font>
      <color theme="1"/>
      <family val="2"/>
      <scheme val="minor"/>
      <sz val="11"/>
      <name val="Calibri"/>
    </font>
    <font>
      <charset val="129"/>
      <color theme="1"/>
      <family val="1"/>
      <sz val="18"/>
      <name val="HY헤드라인M"/>
    </font>
    <font>
      <charset val="129"/>
      <color theme="1"/>
      <family val="1"/>
      <sz val="10"/>
      <name val="HY헤드라인M"/>
    </font>
    <font>
      <charset val="129"/>
      <color theme="1"/>
      <family val="1"/>
      <sz val="11"/>
      <name val="HY헤드라인M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15">
    <border>
      <left/>
      <right/>
      <top/>
      <bottom/>
      <diagonal/>
    </border>
    <border>
      <left style="medium"/>
      <right style="thin"/>
      <top style="medium"/>
      <bottom/>
      <diagonal/>
    </border>
    <border>
      <left style="thin"/>
      <right style="thin"/>
      <top style="medium"/>
      <bottom/>
      <diagonal/>
    </border>
    <border>
      <left style="thin"/>
      <right/>
      <top style="medium"/>
      <bottom/>
      <diagonal/>
    </border>
    <border>
      <left style="thin"/>
      <right style="medium"/>
      <top style="medium"/>
      <bottom/>
      <diagonal/>
    </border>
    <border>
      <left/>
      <right style="medium"/>
      <top style="medium"/>
      <bottom/>
      <diagonal/>
    </border>
    <border>
      <left style="thin"/>
      <right style="thin"/>
      <top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 style="thin"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right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5" fontId="2" fillId="0" borderId="8" xfId="0" applyNumberFormat="1" applyFont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166" fontId="2" fillId="0" borderId="11" xfId="0" applyNumberFormat="1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 shrinkToFit="1"/>
    </xf>
    <xf numFmtId="0" fontId="2" fillId="2" borderId="13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166" fontId="2" fillId="0" borderId="13" xfId="0" applyNumberFormat="1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 shrinkToFit="1"/>
    </xf>
    <xf numFmtId="0" fontId="2" fillId="2" borderId="8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6" fontId="2" fillId="0" borderId="8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2"/>
  <sheetViews>
    <sheetView workbookViewId="0" zoomScale="100" zoomScaleNormal="100" view="pageBreakPreview">
      <selection activeCell="V8" sqref="V8"/>
    </sheetView>
  </sheetViews>
  <sheetFormatPr defaultRowHeight="14" outlineLevelRow="0" outlineLevelCol="0" x14ac:dyDescent="0.45" defaultColWidth="9" customHeight="1"/>
  <cols>
    <col min="1" max="1" width="7.33203125" customWidth="1"/>
    <col min="2" max="2" width="6.25" customWidth="1"/>
    <col min="3" max="3" width="14" customWidth="1"/>
    <col min="4" max="4" width="16.08203125" customWidth="1"/>
  </cols>
  <sheetData>
    <row r="1" ht="16.5" customHeight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2">
        <f>[4]평가표!Q3</f>
        <v>43524</v>
      </c>
      <c r="R1" s="2"/>
      <c r="S1" s="2"/>
    </row>
    <row r="2" ht="16.5" customHeight="1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2"/>
      <c r="R2" s="2"/>
      <c r="S2" s="2"/>
    </row>
    <row r="3" ht="16.5" customHeight="1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2"/>
      <c r="R3" s="2"/>
      <c r="S3" s="2"/>
    </row>
    <row r="4" ht="16.5" customHeight="1" spans="1:19" x14ac:dyDescent="0.25">
      <c r="A4" s="3" t="s">
        <v>1</v>
      </c>
      <c r="B4" s="4" t="s">
        <v>2</v>
      </c>
      <c r="C4" s="5" t="s">
        <v>3</v>
      </c>
      <c r="D4" s="4" t="s">
        <v>4</v>
      </c>
      <c r="E4" s="5" t="s">
        <v>5</v>
      </c>
      <c r="F4" s="5"/>
      <c r="G4" s="5"/>
      <c r="H4" s="5"/>
      <c r="I4" s="5"/>
      <c r="J4" s="5"/>
      <c r="K4" s="5"/>
      <c r="L4" s="5"/>
      <c r="M4" s="5" t="s">
        <v>6</v>
      </c>
      <c r="N4" s="5"/>
      <c r="O4" s="5"/>
      <c r="P4" s="5"/>
      <c r="Q4" s="5"/>
      <c r="R4" s="6" t="s">
        <v>7</v>
      </c>
      <c r="S4" s="7" t="s">
        <v>8</v>
      </c>
    </row>
    <row r="5" ht="16.5" customHeight="1" spans="1:19" x14ac:dyDescent="0.25">
      <c r="A5" s="3"/>
      <c r="B5" s="4"/>
      <c r="C5" s="5"/>
      <c r="D5" s="4"/>
      <c r="E5" s="5"/>
      <c r="F5" s="5"/>
      <c r="G5" s="5"/>
      <c r="H5" s="5"/>
      <c r="I5" s="5"/>
      <c r="J5" s="5"/>
      <c r="K5" s="5"/>
      <c r="L5" s="5"/>
      <c r="M5" s="8" t="s">
        <v>9</v>
      </c>
      <c r="N5" s="9" t="s">
        <v>10</v>
      </c>
      <c r="O5" s="9" t="s">
        <v>11</v>
      </c>
      <c r="P5" s="9" t="s">
        <v>12</v>
      </c>
      <c r="Q5" s="9" t="s">
        <v>13</v>
      </c>
      <c r="R5" s="6"/>
      <c r="S5" s="7"/>
    </row>
    <row r="6" ht="16.5" customHeight="1" spans="1:19" x14ac:dyDescent="0.25">
      <c r="A6" s="3"/>
      <c r="B6" s="4"/>
      <c r="C6" s="5"/>
      <c r="D6" s="4"/>
      <c r="E6" s="5"/>
      <c r="F6" s="5"/>
      <c r="G6" s="5"/>
      <c r="H6" s="5"/>
      <c r="I6" s="5"/>
      <c r="J6" s="5"/>
      <c r="K6" s="5"/>
      <c r="L6" s="5"/>
      <c r="M6" s="8"/>
      <c r="N6" s="10">
        <v>24</v>
      </c>
      <c r="O6" s="10">
        <v>24</v>
      </c>
      <c r="P6" s="10">
        <v>18</v>
      </c>
      <c r="Q6" s="10">
        <v>34</v>
      </c>
      <c r="R6" s="11">
        <v>100</v>
      </c>
      <c r="S6" s="7"/>
    </row>
    <row r="7" ht="103.5" customHeight="1" spans="1:19" x14ac:dyDescent="0.25">
      <c r="A7" s="12" t="s">
        <v>14</v>
      </c>
      <c r="B7" s="13">
        <v>1</v>
      </c>
      <c r="C7" s="14"/>
      <c r="D7" s="13"/>
      <c r="E7" s="14"/>
      <c r="F7" s="14"/>
      <c r="G7" s="14"/>
      <c r="H7" s="14"/>
      <c r="I7" s="14"/>
      <c r="J7" s="14"/>
      <c r="K7" s="14"/>
      <c r="L7" s="14"/>
      <c r="M7" s="14" t="s">
        <v>15</v>
      </c>
      <c r="N7" s="15">
        <f>IF($B7="","",VLOOKUP($B7,[4]평가표!$B$7:$AB$102,9,FALSE))</f>
        <v>24</v>
      </c>
      <c r="O7" s="15">
        <f>IF($B7="","",VLOOKUP($B7,[4]평가표!$B$7:$AB$102,14,FALSE))</f>
        <v>24</v>
      </c>
      <c r="P7" s="15">
        <f>IF($B7="","",VLOOKUP($B7,[4]평가표!$B$7:$AB$102,18,FALSE))</f>
        <v>18</v>
      </c>
      <c r="Q7" s="15">
        <f>IF($B7="","",VLOOKUP($B7,[4]평가표!$B$7:$AB$102,25,FALSE))</f>
        <v>34</v>
      </c>
      <c r="R7" s="15">
        <f>IF($B7="","",VLOOKUP($B7,[4]평가표!$B$7:$AB$102,26,FALSE))</f>
        <v>100</v>
      </c>
      <c r="S7" s="16" t="str">
        <f>IF($B7="","",VLOOKUP($B7,[4]평가표!$B$7:$AB$102,27,FALSE))</f>
        <v>A</v>
      </c>
    </row>
    <row r="8" ht="103.5" customHeight="1" spans="1:19" x14ac:dyDescent="0.25">
      <c r="A8" s="12"/>
      <c r="B8" s="17">
        <v>2</v>
      </c>
      <c r="C8" s="18"/>
      <c r="D8" s="17"/>
      <c r="E8" s="18"/>
      <c r="F8" s="18"/>
      <c r="G8" s="18"/>
      <c r="H8" s="18"/>
      <c r="I8" s="18"/>
      <c r="J8" s="18"/>
      <c r="K8" s="18"/>
      <c r="L8" s="18"/>
      <c r="M8" s="18" t="s">
        <v>15</v>
      </c>
      <c r="N8" s="19">
        <f>IF($B8="","",VLOOKUP($B8,[4]평가표!$B$7:$AB$102,9,FALSE))</f>
        <v>23</v>
      </c>
      <c r="O8" s="19">
        <f>IF($B8="","",VLOOKUP($B8,[4]평가표!$B$7:$AB$102,14,FALSE))</f>
        <v>24</v>
      </c>
      <c r="P8" s="19">
        <f>IF($B8="","",VLOOKUP($B8,[4]평가표!$B$7:$AB$102,18,FALSE))</f>
        <v>16</v>
      </c>
      <c r="Q8" s="19">
        <f>IF($B8="","",VLOOKUP($B8,[4]평가표!$B$7:$AB$102,25,FALSE))</f>
        <v>32</v>
      </c>
      <c r="R8" s="19">
        <f>IF($B8="","",VLOOKUP($B8,[4]평가표!$B$7:$AB$102,26,FALSE))</f>
        <v>95</v>
      </c>
      <c r="S8" s="20" t="str">
        <f>IF($B8="","",VLOOKUP($B8,[4]평가표!$B$7:$AB$102,27,FALSE))</f>
        <v>A</v>
      </c>
    </row>
    <row r="9" ht="103.5" customHeight="1" spans="1:19" x14ac:dyDescent="0.25">
      <c r="A9" s="12"/>
      <c r="B9" s="17">
        <v>3</v>
      </c>
      <c r="C9" s="18"/>
      <c r="D9" s="17"/>
      <c r="E9" s="18"/>
      <c r="F9" s="18"/>
      <c r="G9" s="18"/>
      <c r="H9" s="18"/>
      <c r="I9" s="18"/>
      <c r="J9" s="18"/>
      <c r="K9" s="18"/>
      <c r="L9" s="18"/>
      <c r="M9" s="18" t="s">
        <v>15</v>
      </c>
      <c r="N9" s="19">
        <f>IF($B9="","",VLOOKUP($B9,[4]평가표!$B$7:$AB$102,9,FALSE))</f>
        <v>23</v>
      </c>
      <c r="O9" s="19">
        <f>IF($B9="","",VLOOKUP($B9,[4]평가표!$B$7:$AB$102,14,FALSE))</f>
        <v>24</v>
      </c>
      <c r="P9" s="19">
        <f>IF($B9="","",VLOOKUP($B9,[4]평가표!$B$7:$AB$102,18,FALSE))</f>
        <v>18</v>
      </c>
      <c r="Q9" s="19">
        <f>IF($B9="","",VLOOKUP($B9,[4]평가표!$B$7:$AB$102,25,FALSE))</f>
        <v>32</v>
      </c>
      <c r="R9" s="19">
        <f>IF($B9="","",VLOOKUP($B9,[4]평가표!$B$7:$AB$102,26,FALSE))</f>
        <v>97</v>
      </c>
      <c r="S9" s="20" t="str">
        <f>IF($B9="","",VLOOKUP($B9,[4]평가표!$B$7:$AB$102,27,FALSE))</f>
        <v>A</v>
      </c>
    </row>
    <row r="10" ht="103.5" customHeight="1" spans="1:19" x14ac:dyDescent="0.25">
      <c r="A10" s="12"/>
      <c r="B10" s="17">
        <v>4</v>
      </c>
      <c r="C10" s="18"/>
      <c r="D10" s="17"/>
      <c r="E10" s="18"/>
      <c r="F10" s="18"/>
      <c r="G10" s="18"/>
      <c r="H10" s="18"/>
      <c r="I10" s="18"/>
      <c r="J10" s="18"/>
      <c r="K10" s="18"/>
      <c r="L10" s="18"/>
      <c r="M10" s="18" t="s">
        <v>15</v>
      </c>
      <c r="N10" s="19">
        <f>IF($B10="","",VLOOKUP($B10,[4]평가표!$B$7:$AB$102,9,FALSE))</f>
        <v>22</v>
      </c>
      <c r="O10" s="19">
        <f>IF($B10="","",VLOOKUP($B10,[4]평가표!$B$7:$AB$102,14,FALSE))</f>
        <v>19</v>
      </c>
      <c r="P10" s="19">
        <f>IF($B10="","",VLOOKUP($B10,[4]평가표!$B$7:$AB$102,18,FALSE))</f>
        <v>15</v>
      </c>
      <c r="Q10" s="19">
        <f>IF($B10="","",VLOOKUP($B10,[4]평가표!$B$7:$AB$102,25,FALSE))</f>
        <v>31</v>
      </c>
      <c r="R10" s="19">
        <f>IF($B10="","",VLOOKUP($B10,[4]평가표!$B$7:$AB$102,26,FALSE))</f>
        <v>87</v>
      </c>
      <c r="S10" s="20" t="str">
        <f>IF($B10="","",VLOOKUP($B10,[4]평가표!$B$7:$AB$102,27,FALSE))</f>
        <v>A</v>
      </c>
    </row>
    <row r="11" ht="103.5" customHeight="1" spans="1:19" x14ac:dyDescent="0.25">
      <c r="A11" s="12"/>
      <c r="B11" s="17">
        <v>5</v>
      </c>
      <c r="C11" s="18"/>
      <c r="D11" s="17"/>
      <c r="E11" s="18"/>
      <c r="F11" s="18"/>
      <c r="G11" s="18"/>
      <c r="H11" s="18"/>
      <c r="I11" s="18"/>
      <c r="J11" s="18"/>
      <c r="K11" s="18"/>
      <c r="L11" s="18"/>
      <c r="M11" s="18" t="s">
        <v>15</v>
      </c>
      <c r="N11" s="19">
        <f>IF($B11="","",VLOOKUP($B11,[4]평가표!$B$7:$AB$102,9,FALSE))</f>
        <v>21</v>
      </c>
      <c r="O11" s="19">
        <f>IF($B11="","",VLOOKUP($B11,[4]평가표!$B$7:$AB$102,14,FALSE))</f>
        <v>20</v>
      </c>
      <c r="P11" s="19">
        <f>IF($B11="","",VLOOKUP($B11,[4]평가표!$B$7:$AB$102,18,FALSE))</f>
        <v>15</v>
      </c>
      <c r="Q11" s="19">
        <f>IF($B11="","",VLOOKUP($B11,[4]평가표!$B$7:$AB$102,25,FALSE))</f>
        <v>29</v>
      </c>
      <c r="R11" s="19">
        <f>IF($B11="","",VLOOKUP($B11,[4]평가표!$B$7:$AB$102,26,FALSE))</f>
        <v>85</v>
      </c>
      <c r="S11" s="20" t="str">
        <f>IF($B11="","",VLOOKUP($B11,[4]평가표!$B$7:$AB$102,27,FALSE))</f>
        <v>A</v>
      </c>
    </row>
    <row r="12" ht="103.5" customHeight="1" spans="1:19" x14ac:dyDescent="0.25">
      <c r="A12" s="12"/>
      <c r="B12" s="21">
        <v>6</v>
      </c>
      <c r="C12" s="22"/>
      <c r="D12" s="21"/>
      <c r="E12" s="22"/>
      <c r="F12" s="22"/>
      <c r="G12" s="22"/>
      <c r="H12" s="22"/>
      <c r="I12" s="22"/>
      <c r="J12" s="22"/>
      <c r="K12" s="22"/>
      <c r="L12" s="22"/>
      <c r="M12" s="22" t="s">
        <v>15</v>
      </c>
      <c r="N12" s="23">
        <f>IF($B12="","",VLOOKUP($B12,[4]평가표!$B$7:$AB$102,9,FALSE))</f>
        <v>23</v>
      </c>
      <c r="O12" s="23">
        <f>IF($B12="","",VLOOKUP($B12,[4]평가표!$B$7:$AB$102,14,FALSE))</f>
        <v>24</v>
      </c>
      <c r="P12" s="23">
        <f>IF($B12="","",VLOOKUP($B12,[4]평가표!$B$7:$AB$102,18,FALSE))</f>
        <v>17</v>
      </c>
      <c r="Q12" s="23">
        <f>IF($B12="","",VLOOKUP($B12,[4]평가표!$B$7:$AB$102,25,FALSE))</f>
        <v>29</v>
      </c>
      <c r="R12" s="23">
        <f>IF($B12="","",VLOOKUP($B12,[4]평가표!$B$7:$AB$102,26,FALSE))</f>
        <v>93</v>
      </c>
      <c r="S12" s="24" t="str">
        <f>IF($B12="","",VLOOKUP($B12,[4]평가표!$B$7:$AB$102,27,FALSE))</f>
        <v>A</v>
      </c>
    </row>
  </sheetData>
  <mergeCells count="18">
    <mergeCell ref="A1:P3"/>
    <mergeCell ref="Q1:S3"/>
    <mergeCell ref="E4:L6"/>
    <mergeCell ref="M4:Q4"/>
    <mergeCell ref="A4:A6"/>
    <mergeCell ref="B4:B6"/>
    <mergeCell ref="C4:C6"/>
    <mergeCell ref="D4:D6"/>
    <mergeCell ref="R4:R5"/>
    <mergeCell ref="S4:S6"/>
    <mergeCell ref="M5:M6"/>
    <mergeCell ref="E7:L7"/>
    <mergeCell ref="A7:A12"/>
    <mergeCell ref="E8:L8"/>
    <mergeCell ref="E9:L9"/>
    <mergeCell ref="E10:L10"/>
    <mergeCell ref="E11:L11"/>
    <mergeCell ref="E12:L12"/>
  </mergeCells>
  <printOptions horizontalCentered="1" verticalCentered="1"/>
  <pageMargins left="0.3937007874015748" right="0.3937007874015748" top="0.7480314960629921" bottom="0.5905511811023623" header="0.31496062992125984" footer="0.31496062992125984"/>
  <pageSetup paperSize="9" orientation="landscape" horizontalDpi="4294967295" verticalDpi="4294967295" scale="6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F2100-09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2026-08-23T07:26:30Z</dcterms:created>
  <dcterms:modified xsi:type="dcterms:W3CDTF">2026-08-23T07:26:30Z</dcterms:modified>
</cp:coreProperties>
</file>