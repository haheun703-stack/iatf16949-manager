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200-01" state="visible" r:id="rId4"/>
  </sheets>
  <definedNames>
    <definedName name="_xlnm.Print_Area" localSheetId="0">'H3200-01'!$A1:$AK55</definedName>
  </definedNames>
  <calcPr calcId="171027"/>
</workbook>
</file>

<file path=xl/sharedStrings.xml><?xml version="1.0" encoding="utf-8"?>
<sst xmlns="http://schemas.openxmlformats.org/spreadsheetml/2006/main" count="242" uniqueCount="49">
  <si>
    <t>◈.         년     월 기술연구소 품질연구팀 고객 불만 대응 현황 보고서</t>
  </si>
  <si>
    <t>순</t>
  </si>
  <si>
    <t xml:space="preserve">고객
대응자</t>
  </si>
  <si>
    <t>1.고객 불만 접수 이력</t>
  </si>
  <si>
    <t>2.고객 불만 조치 이력</t>
  </si>
  <si>
    <t>3.고객불만 대응 결과</t>
  </si>
  <si>
    <t>4.고객불만 대응 조사 결과</t>
  </si>
  <si>
    <t>5.고객불만 대응 협의 결과</t>
  </si>
  <si>
    <t>6.고객불만 대응 최종 결론</t>
  </si>
  <si>
    <t>7.고객불만 대응 지출 경비 현황</t>
  </si>
  <si>
    <t>8.실 투입경비</t>
  </si>
  <si>
    <t xml:space="preserve">접수
일자</t>
  </si>
  <si>
    <t xml:space="preserve">접수
유형</t>
  </si>
  <si>
    <t>고객사명</t>
  </si>
  <si>
    <t xml:space="preserve">고객
담당자</t>
  </si>
  <si>
    <t>불만내용</t>
  </si>
  <si>
    <t xml:space="preserve">대응
일자</t>
  </si>
  <si>
    <t>대응지</t>
  </si>
  <si>
    <t>귀책처 지원</t>
  </si>
  <si>
    <t xml:space="preserve">당팀
총투입
인원</t>
  </si>
  <si>
    <t>대응시간(Hr)</t>
  </si>
  <si>
    <t>대응 결과(개,本)</t>
  </si>
  <si>
    <t xml:space="preserve">불량률
(PPM)</t>
  </si>
  <si>
    <t>귀책처</t>
  </si>
  <si>
    <t xml:space="preserve">귀책
공정</t>
  </si>
  <si>
    <t xml:space="preserve">귀책
작업자</t>
  </si>
  <si>
    <t>불량LOT</t>
  </si>
  <si>
    <t>불량원인</t>
  </si>
  <si>
    <t>고객 요청사항</t>
  </si>
  <si>
    <t xml:space="preserve">귀책처
부적합
통보</t>
  </si>
  <si>
    <t>대책</t>
  </si>
  <si>
    <t xml:space="preserve">고객불만
개선방안</t>
  </si>
  <si>
    <t>고객 대응 기타경비</t>
  </si>
  <si>
    <t xml:space="preserve">투입
인건비</t>
  </si>
  <si>
    <t xml:space="preserve">총
대응경비</t>
  </si>
  <si>
    <t xml:space="preserve">귀책처
경비
이관</t>
  </si>
  <si>
    <t xml:space="preserve">실
손실비용</t>
  </si>
  <si>
    <t>발생원</t>
  </si>
  <si>
    <t>유출원</t>
  </si>
  <si>
    <t>제출 기한</t>
  </si>
  <si>
    <t>시</t>
  </si>
  <si>
    <t>~</t>
  </si>
  <si>
    <t>선별수량</t>
  </si>
  <si>
    <t>PPM</t>
  </si>
  <si>
    <t>차량유지비</t>
  </si>
  <si>
    <t>불량수량</t>
  </si>
  <si>
    <t>기타경비</t>
  </si>
  <si>
    <t>Hr</t>
  </si>
  <si>
    <t>소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</si>
</sst>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월&quot; d&quot;일&quot;;@"/>
    <numFmt numFmtId="165" formatCode="_-* #,##0_-;-* #,##0_-;_-* &quot;-&quot;_-;_-@_-"/>
    <numFmt numFmtId="166" formatCode="_-&quot;₩&quot;* #,##0_-;-&quot;₩&quot;* #,##0_-;_-&quot;₩&quot;* &quot;-&quot;_-;_-@_-"/>
  </numFmts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6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8"/>
      <name val="HY헤드라인M"/>
    </font>
    <font>
      <charset val="129"/>
      <color theme="1"/>
      <family val="1"/>
      <sz val="12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wrapText="1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 shrinkToFit="1"/>
    </xf>
    <xf numFmtId="0" fontId="4" fillId="2" borderId="3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 shrinkToFit="1"/>
    </xf>
    <xf numFmtId="0" fontId="4" fillId="2" borderId="7" xfId="0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164" fontId="2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165" fontId="2" fillId="0" borderId="2" xfId="0" applyNumberFormat="1" applyFont="1" applyBorder="1" applyAlignment="1">
      <alignment horizontal="center" vertical="center" shrinkToFit="1"/>
    </xf>
    <xf numFmtId="165" fontId="2" fillId="0" borderId="5" xfId="0" applyNumberFormat="1" applyFont="1" applyBorder="1" applyAlignment="1">
      <alignment horizontal="center" vertical="center" shrinkToFit="1"/>
    </xf>
    <xf numFmtId="165" fontId="2" fillId="0" borderId="10" xfId="0" applyNumberFormat="1" applyFont="1" applyBorder="1" applyAlignment="1">
      <alignment horizontal="left" vertical="center" shrinkToFit="1"/>
    </xf>
    <xf numFmtId="166" fontId="2" fillId="0" borderId="2" xfId="0" applyNumberFormat="1" applyFont="1" applyBorder="1" applyAlignment="1">
      <alignment horizontal="center" vertical="center" shrinkToFit="1"/>
    </xf>
    <xf numFmtId="166" fontId="2" fillId="0" borderId="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165" fontId="2" fillId="0" borderId="3" xfId="0" applyNumberFormat="1" applyFont="1" applyBorder="1" applyAlignment="1">
      <alignment horizontal="center" vertical="center" shrinkToFit="1"/>
    </xf>
    <xf numFmtId="0" fontId="2" fillId="3" borderId="5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vertical="center" shrinkToFit="1"/>
    </xf>
    <xf numFmtId="165" fontId="2" fillId="3" borderId="5" xfId="0" applyNumberFormat="1" applyFont="1" applyFill="1" applyBorder="1" applyAlignment="1">
      <alignment horizontal="center" vertical="center" shrinkToFit="1"/>
    </xf>
    <xf numFmtId="0" fontId="2" fillId="3" borderId="11" xfId="0" applyFont="1" applyFill="1" applyBorder="1" applyAlignment="1">
      <alignment horizontal="center" vertical="center" shrinkToFit="1"/>
    </xf>
    <xf numFmtId="164" fontId="2" fillId="3" borderId="4" xfId="0" applyNumberFormat="1" applyFont="1" applyFill="1" applyBorder="1" applyAlignment="1">
      <alignment horizontal="center" vertical="center" shrinkToFit="1"/>
    </xf>
    <xf numFmtId="166" fontId="2" fillId="3" borderId="4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"/>
  <sheetViews>
    <sheetView workbookViewId="0" zoomScale="55" zoomScaleNormal="100" view="pageBreakPreview">
      <selection activeCell="U25" sqref="U25"/>
    </sheetView>
  </sheetViews>
  <sheetFormatPr defaultRowHeight="13.5" outlineLevelRow="0" outlineLevelCol="0" x14ac:dyDescent="0" customHeight="1"/>
  <cols>
    <col min="1" max="1" width="3.25" customWidth="1"/>
    <col min="2" max="2" width="7.125" customWidth="1"/>
    <col min="3" max="3" width="8" customWidth="1"/>
    <col min="4" max="4" width="4.75" customWidth="1"/>
    <col min="5" max="5" width="9.625" customWidth="1"/>
    <col min="6" max="6" width="7.125" customWidth="1"/>
    <col min="7" max="7" width="17.625" customWidth="1"/>
    <col min="8" max="8" width="7.125" customWidth="1"/>
    <col min="9" max="9" width="9.625" customWidth="1"/>
    <col min="10" max="10" width="13.625" customWidth="1"/>
    <col min="11" max="11" width="8" customWidth="1"/>
    <col min="12" max="12" width="3.25" customWidth="1"/>
    <col min="13" max="14" width="3.125" customWidth="1"/>
    <col min="15" max="15" width="3.25" customWidth="1"/>
    <col min="16" max="16" width="3.125" customWidth="1"/>
    <col min="17" max="17" width="8" customWidth="1"/>
    <col min="18" max="18" width="6.625" customWidth="1"/>
    <col min="19" max="19" width="8.375" customWidth="1"/>
    <col min="20" max="20" width="6" customWidth="1"/>
    <col min="21" max="21" width="9.625" customWidth="1"/>
    <col min="24" max="24" width="7.625" customWidth="1"/>
    <col min="25" max="26" width="17.625" customWidth="1"/>
    <col min="27" max="27" width="23.125" customWidth="1"/>
    <col min="28" max="29" width="9.625" customWidth="1"/>
    <col min="30" max="30" width="17.625" customWidth="1"/>
    <col min="31" max="31" width="9.625" customWidth="1"/>
    <col min="32" max="32" width="8.75" customWidth="1"/>
    <col min="33" max="35" width="14" customWidth="1"/>
    <col min="36" max="36" width="8" customWidth="1"/>
    <col min="37" max="37" width="14" customWidth="1"/>
    <col min="38" max="38" width="8.875" customWidth="1"/>
    <col min="39" max="39" width="9.625" customWidth="1"/>
  </cols>
  <sheetData>
    <row r="1" ht="35.1" customHeight="1" spans="1:3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</row>
    <row r="2" ht="24.95" customHeight="1" spans="1:39" x14ac:dyDescent="0.25">
      <c r="A2" s="5" t="s">
        <v>1</v>
      </c>
      <c r="B2" s="6" t="s">
        <v>2</v>
      </c>
      <c r="C2" s="5" t="s">
        <v>3</v>
      </c>
      <c r="D2" s="5"/>
      <c r="E2" s="5"/>
      <c r="F2" s="5"/>
      <c r="G2" s="5"/>
      <c r="H2" s="7" t="s">
        <v>4</v>
      </c>
      <c r="I2" s="7"/>
      <c r="J2" s="7"/>
      <c r="K2" s="7"/>
      <c r="L2" s="7" t="s">
        <v>5</v>
      </c>
      <c r="M2" s="7"/>
      <c r="N2" s="7"/>
      <c r="O2" s="7"/>
      <c r="P2" s="7"/>
      <c r="Q2" s="7"/>
      <c r="R2" s="7"/>
      <c r="S2" s="7"/>
      <c r="T2" s="7"/>
      <c r="U2" s="5" t="s">
        <v>6</v>
      </c>
      <c r="V2" s="5"/>
      <c r="W2" s="5"/>
      <c r="X2" s="5"/>
      <c r="Y2" s="5"/>
      <c r="Z2" s="5"/>
      <c r="AA2" s="5" t="s">
        <v>7</v>
      </c>
      <c r="AB2" s="5" t="s">
        <v>8</v>
      </c>
      <c r="AC2" s="5"/>
      <c r="AD2" s="5"/>
      <c r="AE2" s="5" t="s">
        <v>9</v>
      </c>
      <c r="AF2" s="5"/>
      <c r="AG2" s="5"/>
      <c r="AH2" s="5"/>
      <c r="AI2" s="5"/>
      <c r="AJ2" s="5" t="s">
        <v>10</v>
      </c>
      <c r="AK2" s="5"/>
      <c r="AL2" s="2"/>
      <c r="AM2" s="8"/>
    </row>
    <row r="3" ht="24.95" customHeight="1" spans="1:39" x14ac:dyDescent="0.25">
      <c r="A3" s="5"/>
      <c r="B3" s="6"/>
      <c r="C3" s="6" t="s">
        <v>11</v>
      </c>
      <c r="D3" s="6" t="s">
        <v>12</v>
      </c>
      <c r="E3" s="5" t="s">
        <v>13</v>
      </c>
      <c r="F3" s="6" t="s">
        <v>14</v>
      </c>
      <c r="G3" s="5" t="s">
        <v>15</v>
      </c>
      <c r="H3" s="6" t="s">
        <v>16</v>
      </c>
      <c r="I3" s="5" t="s">
        <v>17</v>
      </c>
      <c r="J3" s="5" t="s">
        <v>18</v>
      </c>
      <c r="K3" s="9" t="s">
        <v>19</v>
      </c>
      <c r="L3" s="5" t="s">
        <v>20</v>
      </c>
      <c r="M3" s="5"/>
      <c r="N3" s="5"/>
      <c r="O3" s="5"/>
      <c r="P3" s="5"/>
      <c r="Q3" s="5" t="s">
        <v>21</v>
      </c>
      <c r="R3" s="5"/>
      <c r="S3" s="10" t="s">
        <v>22</v>
      </c>
      <c r="T3" s="10"/>
      <c r="U3" s="5" t="s">
        <v>23</v>
      </c>
      <c r="V3" s="6" t="s">
        <v>24</v>
      </c>
      <c r="W3" s="6" t="s">
        <v>25</v>
      </c>
      <c r="X3" s="5" t="s">
        <v>26</v>
      </c>
      <c r="Y3" s="5" t="s">
        <v>27</v>
      </c>
      <c r="Z3" s="5"/>
      <c r="AA3" s="5" t="s">
        <v>28</v>
      </c>
      <c r="AB3" s="6" t="s">
        <v>29</v>
      </c>
      <c r="AC3" s="11" t="s">
        <v>30</v>
      </c>
      <c r="AD3" s="6" t="s">
        <v>31</v>
      </c>
      <c r="AE3" s="5" t="s">
        <v>32</v>
      </c>
      <c r="AF3" s="5"/>
      <c r="AG3" s="5"/>
      <c r="AH3" s="6" t="s">
        <v>33</v>
      </c>
      <c r="AI3" s="6" t="s">
        <v>34</v>
      </c>
      <c r="AJ3" s="6" t="s">
        <v>35</v>
      </c>
      <c r="AK3" s="6" t="s">
        <v>36</v>
      </c>
      <c r="AL3" s="12" t="s">
        <v>23</v>
      </c>
      <c r="AM3" s="13" t="s">
        <v>17</v>
      </c>
    </row>
    <row r="4" ht="24.95" customHeight="1" spans="1:39" x14ac:dyDescent="0.25">
      <c r="A4" s="5"/>
      <c r="B4" s="6"/>
      <c r="C4" s="6"/>
      <c r="D4" s="6"/>
      <c r="E4" s="5"/>
      <c r="F4" s="6"/>
      <c r="G4" s="5"/>
      <c r="H4" s="6"/>
      <c r="I4" s="5"/>
      <c r="J4" s="5"/>
      <c r="K4" s="9"/>
      <c r="L4" s="5"/>
      <c r="M4" s="5"/>
      <c r="N4" s="5"/>
      <c r="O4" s="5"/>
      <c r="P4" s="5"/>
      <c r="Q4" s="5"/>
      <c r="R4" s="5"/>
      <c r="S4" s="10"/>
      <c r="T4" s="10"/>
      <c r="U4" s="5"/>
      <c r="V4" s="6"/>
      <c r="W4" s="6"/>
      <c r="X4" s="5"/>
      <c r="Y4" s="5" t="s">
        <v>37</v>
      </c>
      <c r="Z4" s="5" t="s">
        <v>38</v>
      </c>
      <c r="AA4" s="5"/>
      <c r="AB4" s="6"/>
      <c r="AC4" s="14" t="s">
        <v>39</v>
      </c>
      <c r="AD4" s="6"/>
      <c r="AE4" s="5"/>
      <c r="AF4" s="5"/>
      <c r="AG4" s="5"/>
      <c r="AH4" s="6"/>
      <c r="AI4" s="6"/>
      <c r="AJ4" s="6"/>
      <c r="AK4" s="6"/>
      <c r="AL4" s="12"/>
      <c r="AM4" s="13"/>
    </row>
    <row r="5" ht="24.95" customHeight="1" spans="1:39" x14ac:dyDescent="0.25">
      <c r="A5" s="15"/>
      <c r="B5" s="16"/>
      <c r="C5" s="17"/>
      <c r="D5" s="15"/>
      <c r="E5" s="15"/>
      <c r="F5" s="15"/>
      <c r="G5" s="18"/>
      <c r="H5" s="17"/>
      <c r="I5" s="18"/>
      <c r="J5" s="18"/>
      <c r="K5" s="15"/>
      <c r="L5" s="19"/>
      <c r="M5" s="20" t="s">
        <v>40</v>
      </c>
      <c r="N5" s="20" t="s">
        <v>41</v>
      </c>
      <c r="O5" s="20"/>
      <c r="P5" s="21" t="s">
        <v>40</v>
      </c>
      <c r="Q5" s="12" t="s">
        <v>42</v>
      </c>
      <c r="R5" s="22"/>
      <c r="S5" s="23" t="e">
        <f t="shared" ref="S5" si="0">(R6/R5)*1000000</f>
        <v>#DIV/0!</v>
      </c>
      <c r="T5" s="24" t="s">
        <v>43</v>
      </c>
      <c r="U5" s="15"/>
      <c r="V5" s="15"/>
      <c r="W5" s="15"/>
      <c r="X5" s="15"/>
      <c r="Y5" s="18"/>
      <c r="Z5" s="18"/>
      <c r="AA5" s="18"/>
      <c r="AB5" s="15"/>
      <c r="AC5" s="17"/>
      <c r="AD5" s="18"/>
      <c r="AE5" s="12" t="s">
        <v>44</v>
      </c>
      <c r="AF5" s="25"/>
      <c r="AG5" s="26">
        <f t="shared" ref="AG5" si="1">AF5+AF6</f>
      </c>
      <c r="AH5" s="26">
        <f t="shared" ref="AH5" si="2">(K5*L6)*10000</f>
      </c>
      <c r="AI5" s="26">
        <f t="shared" ref="AI5" si="3">AH5+AG5</f>
      </c>
      <c r="AJ5" s="26">
        <v>0</v>
      </c>
      <c r="AK5" s="26">
        <f t="shared" ref="AK5" si="4">AI5-AJ5</f>
      </c>
      <c r="AL5" s="12">
        <f t="shared" ref="AL5" si="5">U5</f>
      </c>
      <c r="AM5" s="13">
        <f t="shared" ref="AM5" si="6">I5</f>
      </c>
    </row>
    <row r="6" ht="24.95" customHeight="1" spans="1:39" x14ac:dyDescent="0.25">
      <c r="A6" s="15"/>
      <c r="B6" s="27"/>
      <c r="C6" s="17"/>
      <c r="D6" s="15"/>
      <c r="E6" s="15"/>
      <c r="F6" s="15"/>
      <c r="G6" s="18"/>
      <c r="H6" s="17"/>
      <c r="I6" s="18"/>
      <c r="J6" s="18"/>
      <c r="K6" s="15"/>
      <c r="L6" s="28">
        <f t="shared" ref="L6" si="7">O5-L5</f>
      </c>
      <c r="M6" s="28"/>
      <c r="N6" s="28"/>
      <c r="O6" s="20"/>
      <c r="P6" s="20"/>
      <c r="Q6" s="12" t="s">
        <v>45</v>
      </c>
      <c r="R6" s="22"/>
      <c r="S6" s="23"/>
      <c r="T6" s="24"/>
      <c r="U6" s="15"/>
      <c r="V6" s="15"/>
      <c r="W6" s="15"/>
      <c r="X6" s="15"/>
      <c r="Y6" s="18"/>
      <c r="Z6" s="18"/>
      <c r="AA6" s="18"/>
      <c r="AB6" s="15"/>
      <c r="AC6" s="17"/>
      <c r="AD6" s="18"/>
      <c r="AE6" s="12" t="s">
        <v>46</v>
      </c>
      <c r="AF6" s="25"/>
      <c r="AG6" s="26"/>
      <c r="AH6" s="26"/>
      <c r="AI6" s="26"/>
      <c r="AJ6" s="26"/>
      <c r="AK6" s="26"/>
      <c r="AL6" s="12"/>
      <c r="AM6" s="13"/>
    </row>
    <row r="7" ht="24.95" customHeight="1" spans="1:39" x14ac:dyDescent="0.25">
      <c r="A7" s="15"/>
      <c r="B7" s="16"/>
      <c r="C7" s="17"/>
      <c r="D7" s="15"/>
      <c r="E7" s="15"/>
      <c r="F7" s="15"/>
      <c r="G7" s="18"/>
      <c r="H7" s="17"/>
      <c r="I7" s="18"/>
      <c r="J7" s="18"/>
      <c r="K7" s="15"/>
      <c r="L7" s="19"/>
      <c r="M7" s="20" t="s">
        <v>40</v>
      </c>
      <c r="N7" s="20" t="s">
        <v>41</v>
      </c>
      <c r="O7" s="20"/>
      <c r="P7" s="21" t="s">
        <v>40</v>
      </c>
      <c r="Q7" s="12" t="s">
        <v>42</v>
      </c>
      <c r="R7" s="22"/>
      <c r="S7" s="23" t="e">
        <f t="shared" ref="S7" si="8">(R8/R7)*1000000</f>
        <v>#DIV/0!</v>
      </c>
      <c r="T7" s="24" t="s">
        <v>43</v>
      </c>
      <c r="U7" s="15"/>
      <c r="V7" s="15"/>
      <c r="W7" s="15"/>
      <c r="X7" s="15"/>
      <c r="Y7" s="18"/>
      <c r="Z7" s="18"/>
      <c r="AA7" s="18"/>
      <c r="AB7" s="15"/>
      <c r="AC7" s="17"/>
      <c r="AD7" s="18"/>
      <c r="AE7" s="12" t="s">
        <v>44</v>
      </c>
      <c r="AF7" s="25"/>
      <c r="AG7" s="26">
        <f t="shared" ref="AG7" si="9">AF7+AF8</f>
      </c>
      <c r="AH7" s="26">
        <f t="shared" ref="AH7" si="10">(K7*L8)*10000</f>
      </c>
      <c r="AI7" s="26">
        <f t="shared" ref="AI7" si="11">AH7+AG7</f>
      </c>
      <c r="AJ7" s="26">
        <v>0</v>
      </c>
      <c r="AK7" s="26">
        <f t="shared" ref="AK7" si="12">AI7-AJ7</f>
      </c>
      <c r="AL7" s="12">
        <f t="shared" ref="AL7" si="13">U7</f>
      </c>
      <c r="AM7" s="13">
        <f t="shared" ref="AM7" si="14">I7</f>
      </c>
    </row>
    <row r="8" ht="24.95" customHeight="1" spans="1:39" x14ac:dyDescent="0.25">
      <c r="A8" s="15"/>
      <c r="B8" s="27"/>
      <c r="C8" s="17"/>
      <c r="D8" s="15"/>
      <c r="E8" s="15"/>
      <c r="F8" s="15"/>
      <c r="G8" s="18"/>
      <c r="H8" s="17"/>
      <c r="I8" s="18"/>
      <c r="J8" s="18"/>
      <c r="K8" s="15"/>
      <c r="L8" s="28">
        <f t="shared" ref="L8" si="15">O7-L7</f>
      </c>
      <c r="M8" s="28"/>
      <c r="N8" s="28"/>
      <c r="O8" s="20"/>
      <c r="P8" s="20"/>
      <c r="Q8" s="12" t="s">
        <v>45</v>
      </c>
      <c r="R8" s="22"/>
      <c r="S8" s="23"/>
      <c r="T8" s="24"/>
      <c r="U8" s="15"/>
      <c r="V8" s="15"/>
      <c r="W8" s="15"/>
      <c r="X8" s="15"/>
      <c r="Y8" s="18"/>
      <c r="Z8" s="18"/>
      <c r="AA8" s="18"/>
      <c r="AB8" s="15"/>
      <c r="AC8" s="17"/>
      <c r="AD8" s="18"/>
      <c r="AE8" s="12" t="s">
        <v>46</v>
      </c>
      <c r="AF8" s="25"/>
      <c r="AG8" s="26"/>
      <c r="AH8" s="26"/>
      <c r="AI8" s="26"/>
      <c r="AJ8" s="26"/>
      <c r="AK8" s="26"/>
      <c r="AL8" s="12"/>
      <c r="AM8" s="13"/>
    </row>
    <row r="9" ht="24.95" customHeight="1" spans="1:39" x14ac:dyDescent="0.25">
      <c r="A9" s="15"/>
      <c r="B9" s="16"/>
      <c r="C9" s="17"/>
      <c r="D9" s="15"/>
      <c r="E9" s="15"/>
      <c r="F9" s="15"/>
      <c r="G9" s="18"/>
      <c r="H9" s="17"/>
      <c r="I9" s="18"/>
      <c r="J9" s="18"/>
      <c r="K9" s="15"/>
      <c r="L9" s="19"/>
      <c r="M9" s="20" t="s">
        <v>40</v>
      </c>
      <c r="N9" s="20" t="s">
        <v>41</v>
      </c>
      <c r="O9" s="20"/>
      <c r="P9" s="21" t="s">
        <v>40</v>
      </c>
      <c r="Q9" s="12" t="s">
        <v>42</v>
      </c>
      <c r="R9" s="22"/>
      <c r="S9" s="23" t="e">
        <f t="shared" ref="S9" si="16">(R10/R9)*1000000</f>
        <v>#DIV/0!</v>
      </c>
      <c r="T9" s="24" t="s">
        <v>43</v>
      </c>
      <c r="U9" s="15"/>
      <c r="V9" s="15"/>
      <c r="W9" s="15"/>
      <c r="X9" s="15"/>
      <c r="Y9" s="18"/>
      <c r="Z9" s="18"/>
      <c r="AA9" s="18"/>
      <c r="AB9" s="15"/>
      <c r="AC9" s="17"/>
      <c r="AD9" s="18"/>
      <c r="AE9" s="12" t="s">
        <v>44</v>
      </c>
      <c r="AF9" s="25"/>
      <c r="AG9" s="26">
        <f t="shared" ref="AG9" si="17">AF9+AF10</f>
      </c>
      <c r="AH9" s="26">
        <f t="shared" ref="AH9" si="18">(K9*L10)*10000</f>
      </c>
      <c r="AI9" s="26">
        <f t="shared" ref="AI9" si="19">AH9+AG9</f>
      </c>
      <c r="AJ9" s="26">
        <v>0</v>
      </c>
      <c r="AK9" s="26">
        <f t="shared" ref="AK9" si="20">AI9-AJ9</f>
      </c>
      <c r="AL9" s="12">
        <f t="shared" ref="AL9" si="21">U9</f>
      </c>
      <c r="AM9" s="13">
        <f t="shared" ref="AM9" si="22">I9</f>
      </c>
    </row>
    <row r="10" ht="24.95" customHeight="1" spans="1:39" x14ac:dyDescent="0.25">
      <c r="A10" s="15"/>
      <c r="B10" s="27"/>
      <c r="C10" s="17"/>
      <c r="D10" s="15"/>
      <c r="E10" s="15"/>
      <c r="F10" s="15"/>
      <c r="G10" s="18"/>
      <c r="H10" s="17"/>
      <c r="I10" s="18"/>
      <c r="J10" s="18"/>
      <c r="K10" s="15"/>
      <c r="L10" s="28">
        <f t="shared" ref="L10" si="23">O9-L9</f>
      </c>
      <c r="M10" s="28"/>
      <c r="N10" s="28"/>
      <c r="O10" s="20"/>
      <c r="P10" s="20"/>
      <c r="Q10" s="12" t="s">
        <v>45</v>
      </c>
      <c r="R10" s="22"/>
      <c r="S10" s="23"/>
      <c r="T10" s="24"/>
      <c r="U10" s="15"/>
      <c r="V10" s="15"/>
      <c r="W10" s="15"/>
      <c r="X10" s="15"/>
      <c r="Y10" s="18"/>
      <c r="Z10" s="18"/>
      <c r="AA10" s="18"/>
      <c r="AB10" s="15"/>
      <c r="AC10" s="17"/>
      <c r="AD10" s="18"/>
      <c r="AE10" s="12" t="s">
        <v>46</v>
      </c>
      <c r="AF10" s="25"/>
      <c r="AG10" s="26"/>
      <c r="AH10" s="26"/>
      <c r="AI10" s="26"/>
      <c r="AJ10" s="26"/>
      <c r="AK10" s="26"/>
      <c r="AL10" s="12"/>
      <c r="AM10" s="13"/>
    </row>
    <row r="11" ht="24.95" customHeight="1" spans="1:39" x14ac:dyDescent="0.25">
      <c r="A11" s="15"/>
      <c r="B11" s="16"/>
      <c r="C11" s="17"/>
      <c r="D11" s="15"/>
      <c r="E11" s="15"/>
      <c r="F11" s="15"/>
      <c r="G11" s="18"/>
      <c r="H11" s="17"/>
      <c r="I11" s="18"/>
      <c r="J11" s="18"/>
      <c r="K11" s="15"/>
      <c r="L11" s="19"/>
      <c r="M11" s="20" t="s">
        <v>40</v>
      </c>
      <c r="N11" s="20" t="s">
        <v>41</v>
      </c>
      <c r="O11" s="20"/>
      <c r="P11" s="21" t="s">
        <v>40</v>
      </c>
      <c r="Q11" s="12" t="s">
        <v>42</v>
      </c>
      <c r="R11" s="22"/>
      <c r="S11" s="23" t="e">
        <f t="shared" ref="S11" si="24">(R12/R11)*1000000</f>
        <v>#DIV/0!</v>
      </c>
      <c r="T11" s="24" t="s">
        <v>43</v>
      </c>
      <c r="U11" s="15"/>
      <c r="V11" s="15"/>
      <c r="W11" s="15"/>
      <c r="X11" s="15"/>
      <c r="Y11" s="18"/>
      <c r="Z11" s="18"/>
      <c r="AA11" s="18"/>
      <c r="AB11" s="15"/>
      <c r="AC11" s="17"/>
      <c r="AD11" s="18"/>
      <c r="AE11" s="12" t="s">
        <v>44</v>
      </c>
      <c r="AF11" s="25"/>
      <c r="AG11" s="26">
        <f t="shared" ref="AG11" si="25">AF11+AF12</f>
      </c>
      <c r="AH11" s="26">
        <f t="shared" ref="AH11" si="26">(K11*L12)*10000</f>
      </c>
      <c r="AI11" s="26">
        <f t="shared" ref="AI11" si="27">AH11+AG11</f>
      </c>
      <c r="AJ11" s="26">
        <v>0</v>
      </c>
      <c r="AK11" s="26">
        <f t="shared" ref="AK11" si="28">AI11-AJ11</f>
      </c>
      <c r="AL11" s="12">
        <f t="shared" ref="AL11" si="29">U11</f>
      </c>
      <c r="AM11" s="13">
        <f t="shared" ref="AM11" si="30">I11</f>
      </c>
    </row>
    <row r="12" ht="24.95" customHeight="1" spans="1:39" x14ac:dyDescent="0.25">
      <c r="A12" s="15"/>
      <c r="B12" s="27"/>
      <c r="C12" s="17"/>
      <c r="D12" s="15"/>
      <c r="E12" s="15"/>
      <c r="F12" s="15"/>
      <c r="G12" s="18"/>
      <c r="H12" s="17"/>
      <c r="I12" s="18"/>
      <c r="J12" s="18"/>
      <c r="K12" s="15"/>
      <c r="L12" s="28">
        <f t="shared" ref="L12" si="31">O11-L11</f>
      </c>
      <c r="M12" s="28"/>
      <c r="N12" s="28"/>
      <c r="O12" s="20"/>
      <c r="P12" s="20"/>
      <c r="Q12" s="12" t="s">
        <v>45</v>
      </c>
      <c r="R12" s="22"/>
      <c r="S12" s="23"/>
      <c r="T12" s="24"/>
      <c r="U12" s="15"/>
      <c r="V12" s="15"/>
      <c r="W12" s="15"/>
      <c r="X12" s="15"/>
      <c r="Y12" s="18"/>
      <c r="Z12" s="18"/>
      <c r="AA12" s="18"/>
      <c r="AB12" s="15"/>
      <c r="AC12" s="17"/>
      <c r="AD12" s="18"/>
      <c r="AE12" s="12" t="s">
        <v>46</v>
      </c>
      <c r="AF12" s="25"/>
      <c r="AG12" s="26"/>
      <c r="AH12" s="26"/>
      <c r="AI12" s="26"/>
      <c r="AJ12" s="26"/>
      <c r="AK12" s="26"/>
      <c r="AL12" s="12"/>
      <c r="AM12" s="13"/>
    </row>
    <row r="13" ht="24.95" customHeight="1" spans="1:39" x14ac:dyDescent="0.25">
      <c r="A13" s="15"/>
      <c r="B13" s="16"/>
      <c r="C13" s="17"/>
      <c r="D13" s="15"/>
      <c r="E13" s="15"/>
      <c r="F13" s="15"/>
      <c r="G13" s="18"/>
      <c r="H13" s="17"/>
      <c r="I13" s="18"/>
      <c r="J13" s="18"/>
      <c r="K13" s="15"/>
      <c r="L13" s="19"/>
      <c r="M13" s="20" t="s">
        <v>40</v>
      </c>
      <c r="N13" s="20" t="s">
        <v>41</v>
      </c>
      <c r="O13" s="20"/>
      <c r="P13" s="21" t="s">
        <v>40</v>
      </c>
      <c r="Q13" s="12" t="s">
        <v>42</v>
      </c>
      <c r="R13" s="22"/>
      <c r="S13" s="23" t="e">
        <f t="shared" ref="S13" si="32">(R14/R13)*1000000</f>
        <v>#DIV/0!</v>
      </c>
      <c r="T13" s="24" t="s">
        <v>43</v>
      </c>
      <c r="U13" s="15"/>
      <c r="V13" s="15"/>
      <c r="W13" s="15"/>
      <c r="X13" s="15"/>
      <c r="Y13" s="18"/>
      <c r="Z13" s="18"/>
      <c r="AA13" s="18"/>
      <c r="AB13" s="15"/>
      <c r="AC13" s="17"/>
      <c r="AD13" s="18"/>
      <c r="AE13" s="12" t="s">
        <v>44</v>
      </c>
      <c r="AF13" s="25"/>
      <c r="AG13" s="26">
        <f t="shared" ref="AG13" si="33">AF13+AF14</f>
      </c>
      <c r="AH13" s="26">
        <f t="shared" ref="AH13" si="34">(K13*L14)*10000</f>
      </c>
      <c r="AI13" s="26">
        <f t="shared" ref="AI13" si="35">AH13+AG13</f>
      </c>
      <c r="AJ13" s="26">
        <v>0</v>
      </c>
      <c r="AK13" s="26">
        <f t="shared" ref="AK13" si="36">AI13-AJ13</f>
      </c>
      <c r="AL13" s="12">
        <f t="shared" ref="AL13" si="37">U13</f>
      </c>
      <c r="AM13" s="13">
        <f t="shared" ref="AM13" si="38">I13</f>
      </c>
    </row>
    <row r="14" ht="24.95" customHeight="1" spans="1:39" x14ac:dyDescent="0.25">
      <c r="A14" s="15"/>
      <c r="B14" s="27"/>
      <c r="C14" s="17"/>
      <c r="D14" s="15"/>
      <c r="E14" s="15"/>
      <c r="F14" s="15"/>
      <c r="G14" s="18"/>
      <c r="H14" s="17"/>
      <c r="I14" s="18"/>
      <c r="J14" s="18"/>
      <c r="K14" s="15"/>
      <c r="L14" s="28">
        <f t="shared" ref="L14" si="39">O13-L13</f>
      </c>
      <c r="M14" s="28"/>
      <c r="N14" s="28"/>
      <c r="O14" s="20"/>
      <c r="P14" s="20"/>
      <c r="Q14" s="12" t="s">
        <v>45</v>
      </c>
      <c r="R14" s="22"/>
      <c r="S14" s="23"/>
      <c r="T14" s="24"/>
      <c r="U14" s="15"/>
      <c r="V14" s="15"/>
      <c r="W14" s="15"/>
      <c r="X14" s="15"/>
      <c r="Y14" s="18"/>
      <c r="Z14" s="18"/>
      <c r="AA14" s="18"/>
      <c r="AB14" s="15"/>
      <c r="AC14" s="17"/>
      <c r="AD14" s="18"/>
      <c r="AE14" s="12" t="s">
        <v>46</v>
      </c>
      <c r="AF14" s="25"/>
      <c r="AG14" s="26"/>
      <c r="AH14" s="26"/>
      <c r="AI14" s="26"/>
      <c r="AJ14" s="26"/>
      <c r="AK14" s="26"/>
      <c r="AL14" s="12"/>
      <c r="AM14" s="13"/>
    </row>
    <row r="15" ht="24.95" customHeight="1" spans="1:39" x14ac:dyDescent="0.25">
      <c r="A15" s="15"/>
      <c r="B15" s="16"/>
      <c r="C15" s="17"/>
      <c r="D15" s="15"/>
      <c r="E15" s="15"/>
      <c r="F15" s="15"/>
      <c r="G15" s="18"/>
      <c r="H15" s="17"/>
      <c r="I15" s="18"/>
      <c r="J15" s="18"/>
      <c r="K15" s="15"/>
      <c r="L15" s="19"/>
      <c r="M15" s="20" t="s">
        <v>40</v>
      </c>
      <c r="N15" s="20" t="s">
        <v>41</v>
      </c>
      <c r="O15" s="20"/>
      <c r="P15" s="21" t="s">
        <v>40</v>
      </c>
      <c r="Q15" s="12" t="s">
        <v>42</v>
      </c>
      <c r="R15" s="22"/>
      <c r="S15" s="23" t="e">
        <f t="shared" ref="S15" si="40">(R16/R15)*1000000</f>
        <v>#DIV/0!</v>
      </c>
      <c r="T15" s="24" t="s">
        <v>43</v>
      </c>
      <c r="U15" s="15"/>
      <c r="V15" s="15"/>
      <c r="W15" s="15"/>
      <c r="X15" s="15"/>
      <c r="Y15" s="18"/>
      <c r="Z15" s="18"/>
      <c r="AA15" s="18"/>
      <c r="AB15" s="15"/>
      <c r="AC15" s="17"/>
      <c r="AD15" s="18"/>
      <c r="AE15" s="12" t="s">
        <v>44</v>
      </c>
      <c r="AF15" s="25"/>
      <c r="AG15" s="26">
        <f t="shared" ref="AG15" si="41">AF15+AF16</f>
      </c>
      <c r="AH15" s="26">
        <f t="shared" ref="AH15" si="42">(K15*L16)*10000</f>
      </c>
      <c r="AI15" s="26">
        <f t="shared" ref="AI15" si="43">AH15+AG15</f>
      </c>
      <c r="AJ15" s="26">
        <v>0</v>
      </c>
      <c r="AK15" s="26">
        <f t="shared" ref="AK15" si="44">AI15-AJ15</f>
      </c>
      <c r="AL15" s="12">
        <f t="shared" ref="AL15" si="45">U15</f>
      </c>
      <c r="AM15" s="13">
        <f t="shared" ref="AM15" si="46">I15</f>
      </c>
    </row>
    <row r="16" ht="24.95" customHeight="1" spans="1:39" x14ac:dyDescent="0.25">
      <c r="A16" s="15"/>
      <c r="B16" s="27"/>
      <c r="C16" s="17"/>
      <c r="D16" s="15"/>
      <c r="E16" s="15"/>
      <c r="F16" s="15"/>
      <c r="G16" s="18"/>
      <c r="H16" s="17"/>
      <c r="I16" s="18"/>
      <c r="J16" s="18"/>
      <c r="K16" s="15"/>
      <c r="L16" s="28">
        <f t="shared" ref="L16" si="47">O15-L15</f>
      </c>
      <c r="M16" s="28"/>
      <c r="N16" s="28"/>
      <c r="O16" s="20"/>
      <c r="P16" s="20"/>
      <c r="Q16" s="12" t="s">
        <v>45</v>
      </c>
      <c r="R16" s="22"/>
      <c r="S16" s="23"/>
      <c r="T16" s="24"/>
      <c r="U16" s="15"/>
      <c r="V16" s="15"/>
      <c r="W16" s="15"/>
      <c r="X16" s="15"/>
      <c r="Y16" s="18"/>
      <c r="Z16" s="18"/>
      <c r="AA16" s="18"/>
      <c r="AB16" s="15"/>
      <c r="AC16" s="17"/>
      <c r="AD16" s="18"/>
      <c r="AE16" s="12" t="s">
        <v>46</v>
      </c>
      <c r="AF16" s="25"/>
      <c r="AG16" s="26"/>
      <c r="AH16" s="26"/>
      <c r="AI16" s="26"/>
      <c r="AJ16" s="26"/>
      <c r="AK16" s="26"/>
      <c r="AL16" s="12"/>
      <c r="AM16" s="13"/>
    </row>
    <row r="17" ht="24.95" customHeight="1" spans="1:39" x14ac:dyDescent="0.25">
      <c r="A17" s="15"/>
      <c r="B17" s="16"/>
      <c r="C17" s="17"/>
      <c r="D17" s="15"/>
      <c r="E17" s="15"/>
      <c r="F17" s="15"/>
      <c r="G17" s="18"/>
      <c r="H17" s="17"/>
      <c r="I17" s="18"/>
      <c r="J17" s="18"/>
      <c r="K17" s="15"/>
      <c r="L17" s="19"/>
      <c r="M17" s="20" t="s">
        <v>40</v>
      </c>
      <c r="N17" s="20" t="s">
        <v>41</v>
      </c>
      <c r="O17" s="20"/>
      <c r="P17" s="21" t="s">
        <v>40</v>
      </c>
      <c r="Q17" s="12" t="s">
        <v>42</v>
      </c>
      <c r="R17" s="22"/>
      <c r="S17" s="23" t="e">
        <f t="shared" ref="S17" si="48">(R18/R17)*1000000</f>
        <v>#DIV/0!</v>
      </c>
      <c r="T17" s="24" t="s">
        <v>43</v>
      </c>
      <c r="U17" s="15"/>
      <c r="V17" s="15"/>
      <c r="W17" s="15"/>
      <c r="X17" s="15"/>
      <c r="Y17" s="18"/>
      <c r="Z17" s="18"/>
      <c r="AA17" s="18"/>
      <c r="AB17" s="15"/>
      <c r="AC17" s="17"/>
      <c r="AD17" s="18"/>
      <c r="AE17" s="12" t="s">
        <v>44</v>
      </c>
      <c r="AF17" s="25"/>
      <c r="AG17" s="26">
        <f t="shared" ref="AG17" si="49">AF17+AF18</f>
      </c>
      <c r="AH17" s="26">
        <f t="shared" ref="AH17" si="50">(K17*L18)*10000</f>
      </c>
      <c r="AI17" s="26">
        <f t="shared" ref="AI17" si="51">AH17+AG17</f>
      </c>
      <c r="AJ17" s="26">
        <v>0</v>
      </c>
      <c r="AK17" s="26">
        <f t="shared" ref="AK17" si="52">AI17-AJ17</f>
      </c>
      <c r="AL17" s="12">
        <f t="shared" ref="AL17" si="53">U17</f>
      </c>
      <c r="AM17" s="13">
        <f t="shared" ref="AM17" si="54">I17</f>
      </c>
    </row>
    <row r="18" ht="24.95" customHeight="1" spans="1:39" x14ac:dyDescent="0.25">
      <c r="A18" s="15"/>
      <c r="B18" s="27"/>
      <c r="C18" s="17"/>
      <c r="D18" s="15"/>
      <c r="E18" s="15"/>
      <c r="F18" s="15"/>
      <c r="G18" s="18"/>
      <c r="H18" s="17"/>
      <c r="I18" s="18"/>
      <c r="J18" s="18"/>
      <c r="K18" s="15"/>
      <c r="L18" s="28">
        <f t="shared" ref="L18" si="55">O17-L17</f>
      </c>
      <c r="M18" s="28"/>
      <c r="N18" s="28"/>
      <c r="O18" s="20"/>
      <c r="P18" s="20"/>
      <c r="Q18" s="12" t="s">
        <v>45</v>
      </c>
      <c r="R18" s="22"/>
      <c r="S18" s="23"/>
      <c r="T18" s="24"/>
      <c r="U18" s="15"/>
      <c r="V18" s="15"/>
      <c r="W18" s="15"/>
      <c r="X18" s="15"/>
      <c r="Y18" s="18"/>
      <c r="Z18" s="18"/>
      <c r="AA18" s="18"/>
      <c r="AB18" s="15"/>
      <c r="AC18" s="17"/>
      <c r="AD18" s="18"/>
      <c r="AE18" s="12" t="s">
        <v>46</v>
      </c>
      <c r="AF18" s="25"/>
      <c r="AG18" s="26"/>
      <c r="AH18" s="26"/>
      <c r="AI18" s="26"/>
      <c r="AJ18" s="26"/>
      <c r="AK18" s="26"/>
      <c r="AL18" s="12"/>
      <c r="AM18" s="13"/>
    </row>
    <row r="19" ht="24.95" customHeight="1" spans="1:39" x14ac:dyDescent="0.25">
      <c r="A19" s="15"/>
      <c r="B19" s="16"/>
      <c r="C19" s="17"/>
      <c r="D19" s="15"/>
      <c r="E19" s="15"/>
      <c r="F19" s="15"/>
      <c r="G19" s="18"/>
      <c r="H19" s="17"/>
      <c r="I19" s="18"/>
      <c r="J19" s="18"/>
      <c r="K19" s="15"/>
      <c r="L19" s="19"/>
      <c r="M19" s="20" t="s">
        <v>40</v>
      </c>
      <c r="N19" s="20" t="s">
        <v>41</v>
      </c>
      <c r="O19" s="20"/>
      <c r="P19" s="21" t="s">
        <v>40</v>
      </c>
      <c r="Q19" s="12" t="s">
        <v>42</v>
      </c>
      <c r="R19" s="22"/>
      <c r="S19" s="23" t="e">
        <f t="shared" ref="S19" si="56">(R20/R19)*1000000</f>
        <v>#DIV/0!</v>
      </c>
      <c r="T19" s="24" t="s">
        <v>43</v>
      </c>
      <c r="U19" s="15"/>
      <c r="V19" s="15"/>
      <c r="W19" s="15"/>
      <c r="X19" s="15"/>
      <c r="Y19" s="18"/>
      <c r="Z19" s="18"/>
      <c r="AA19" s="18"/>
      <c r="AB19" s="15"/>
      <c r="AC19" s="17"/>
      <c r="AD19" s="18"/>
      <c r="AE19" s="12" t="s">
        <v>44</v>
      </c>
      <c r="AF19" s="25"/>
      <c r="AG19" s="26">
        <f t="shared" ref="AG19" si="57">AF19+AF20</f>
      </c>
      <c r="AH19" s="26">
        <f t="shared" ref="AH19" si="58">(K19*L20)*10000</f>
      </c>
      <c r="AI19" s="26">
        <f t="shared" ref="AI19" si="59">AH19+AG19</f>
      </c>
      <c r="AJ19" s="26">
        <v>0</v>
      </c>
      <c r="AK19" s="26">
        <f t="shared" ref="AK19" si="60">AI19-AJ19</f>
      </c>
      <c r="AL19" s="12">
        <f t="shared" ref="AL19" si="61">U19</f>
      </c>
      <c r="AM19" s="13">
        <f t="shared" ref="AM19" si="62">I19</f>
      </c>
    </row>
    <row r="20" ht="24.95" customHeight="1" spans="1:39" x14ac:dyDescent="0.25">
      <c r="A20" s="15"/>
      <c r="B20" s="27"/>
      <c r="C20" s="17"/>
      <c r="D20" s="15"/>
      <c r="E20" s="15"/>
      <c r="F20" s="15"/>
      <c r="G20" s="18"/>
      <c r="H20" s="17"/>
      <c r="I20" s="18"/>
      <c r="J20" s="18"/>
      <c r="K20" s="15"/>
      <c r="L20" s="28">
        <f t="shared" ref="L20" si="63">O19-L19</f>
      </c>
      <c r="M20" s="28"/>
      <c r="N20" s="28"/>
      <c r="O20" s="20"/>
      <c r="P20" s="20"/>
      <c r="Q20" s="12" t="s">
        <v>45</v>
      </c>
      <c r="R20" s="22"/>
      <c r="S20" s="23"/>
      <c r="T20" s="24"/>
      <c r="U20" s="15"/>
      <c r="V20" s="15"/>
      <c r="W20" s="15"/>
      <c r="X20" s="15"/>
      <c r="Y20" s="18"/>
      <c r="Z20" s="18"/>
      <c r="AA20" s="18"/>
      <c r="AB20" s="15"/>
      <c r="AC20" s="17"/>
      <c r="AD20" s="18"/>
      <c r="AE20" s="12" t="s">
        <v>46</v>
      </c>
      <c r="AF20" s="25"/>
      <c r="AG20" s="26"/>
      <c r="AH20" s="26"/>
      <c r="AI20" s="26"/>
      <c r="AJ20" s="26"/>
      <c r="AK20" s="26"/>
      <c r="AL20" s="12"/>
      <c r="AM20" s="13"/>
    </row>
    <row r="21" ht="24.95" customHeight="1" spans="1:39" x14ac:dyDescent="0.25">
      <c r="A21" s="15"/>
      <c r="B21" s="16"/>
      <c r="C21" s="17"/>
      <c r="D21" s="15"/>
      <c r="E21" s="15"/>
      <c r="F21" s="15"/>
      <c r="G21" s="18"/>
      <c r="H21" s="17"/>
      <c r="I21" s="18"/>
      <c r="J21" s="18"/>
      <c r="K21" s="15"/>
      <c r="L21" s="19"/>
      <c r="M21" s="20" t="s">
        <v>40</v>
      </c>
      <c r="N21" s="20" t="s">
        <v>41</v>
      </c>
      <c r="O21" s="20"/>
      <c r="P21" s="21" t="s">
        <v>40</v>
      </c>
      <c r="Q21" s="12" t="s">
        <v>42</v>
      </c>
      <c r="R21" s="22"/>
      <c r="S21" s="23" t="e">
        <f t="shared" ref="S21" si="64">(R22/R21)*1000000</f>
        <v>#DIV/0!</v>
      </c>
      <c r="T21" s="24" t="s">
        <v>43</v>
      </c>
      <c r="U21" s="15"/>
      <c r="V21" s="15"/>
      <c r="W21" s="15"/>
      <c r="X21" s="15"/>
      <c r="Y21" s="18"/>
      <c r="Z21" s="18"/>
      <c r="AA21" s="18"/>
      <c r="AB21" s="15"/>
      <c r="AC21" s="17"/>
      <c r="AD21" s="18"/>
      <c r="AE21" s="12" t="s">
        <v>44</v>
      </c>
      <c r="AF21" s="25"/>
      <c r="AG21" s="26">
        <f t="shared" ref="AG21" si="65">AF21+AF22</f>
      </c>
      <c r="AH21" s="26">
        <f t="shared" ref="AH21" si="66">(K21*L22)*10000</f>
      </c>
      <c r="AI21" s="26">
        <f t="shared" ref="AI21" si="67">AH21+AG21</f>
      </c>
      <c r="AJ21" s="26">
        <v>0</v>
      </c>
      <c r="AK21" s="26">
        <f t="shared" ref="AK21" si="68">AI21-AJ21</f>
      </c>
      <c r="AL21" s="12">
        <f t="shared" ref="AL21" si="69">U21</f>
      </c>
      <c r="AM21" s="13">
        <f t="shared" ref="AM21" si="70">I21</f>
      </c>
    </row>
    <row r="22" ht="24.95" customHeight="1" spans="1:39" x14ac:dyDescent="0.25">
      <c r="A22" s="15"/>
      <c r="B22" s="27"/>
      <c r="C22" s="17"/>
      <c r="D22" s="15"/>
      <c r="E22" s="15"/>
      <c r="F22" s="15"/>
      <c r="G22" s="18"/>
      <c r="H22" s="17"/>
      <c r="I22" s="18"/>
      <c r="J22" s="18"/>
      <c r="K22" s="15"/>
      <c r="L22" s="28">
        <f t="shared" ref="L22" si="71">O21-L21</f>
      </c>
      <c r="M22" s="28"/>
      <c r="N22" s="28"/>
      <c r="O22" s="20"/>
      <c r="P22" s="20"/>
      <c r="Q22" s="12" t="s">
        <v>45</v>
      </c>
      <c r="R22" s="22"/>
      <c r="S22" s="23"/>
      <c r="T22" s="24"/>
      <c r="U22" s="15"/>
      <c r="V22" s="15"/>
      <c r="W22" s="15"/>
      <c r="X22" s="15"/>
      <c r="Y22" s="18"/>
      <c r="Z22" s="18"/>
      <c r="AA22" s="18"/>
      <c r="AB22" s="15"/>
      <c r="AC22" s="17"/>
      <c r="AD22" s="18"/>
      <c r="AE22" s="12" t="s">
        <v>46</v>
      </c>
      <c r="AF22" s="25"/>
      <c r="AG22" s="26"/>
      <c r="AH22" s="26"/>
      <c r="AI22" s="26"/>
      <c r="AJ22" s="26"/>
      <c r="AK22" s="26"/>
      <c r="AL22" s="12"/>
      <c r="AM22" s="13"/>
    </row>
    <row r="23" ht="24.95" customHeight="1" spans="1:39" x14ac:dyDescent="0.25">
      <c r="A23" s="15"/>
      <c r="B23" s="16"/>
      <c r="C23" s="17"/>
      <c r="D23" s="15"/>
      <c r="E23" s="15"/>
      <c r="F23" s="15"/>
      <c r="G23" s="18"/>
      <c r="H23" s="17"/>
      <c r="I23" s="18"/>
      <c r="J23" s="18"/>
      <c r="K23" s="15"/>
      <c r="L23" s="19"/>
      <c r="M23" s="20" t="s">
        <v>40</v>
      </c>
      <c r="N23" s="20" t="s">
        <v>41</v>
      </c>
      <c r="O23" s="20"/>
      <c r="P23" s="21" t="s">
        <v>40</v>
      </c>
      <c r="Q23" s="12" t="s">
        <v>42</v>
      </c>
      <c r="R23" s="22"/>
      <c r="S23" s="23" t="e">
        <f t="shared" ref="S23" si="72">(R24/R23)*1000000</f>
        <v>#DIV/0!</v>
      </c>
      <c r="T23" s="24" t="s">
        <v>43</v>
      </c>
      <c r="U23" s="15"/>
      <c r="V23" s="15"/>
      <c r="W23" s="15"/>
      <c r="X23" s="15"/>
      <c r="Y23" s="18"/>
      <c r="Z23" s="18"/>
      <c r="AA23" s="18"/>
      <c r="AB23" s="15"/>
      <c r="AC23" s="17"/>
      <c r="AD23" s="18"/>
      <c r="AE23" s="12" t="s">
        <v>44</v>
      </c>
      <c r="AF23" s="25"/>
      <c r="AG23" s="26">
        <f t="shared" ref="AG23" si="73">AF23+AF24</f>
      </c>
      <c r="AH23" s="26">
        <f t="shared" ref="AH23" si="74">(K23*L24)*10000</f>
      </c>
      <c r="AI23" s="26">
        <f t="shared" ref="AI23" si="75">AH23+AG23</f>
      </c>
      <c r="AJ23" s="26">
        <v>0</v>
      </c>
      <c r="AK23" s="26">
        <f t="shared" ref="AK23" si="76">AI23-AJ23</f>
      </c>
      <c r="AL23" s="12">
        <f t="shared" ref="AL23" si="77">U23</f>
      </c>
      <c r="AM23" s="13">
        <f t="shared" ref="AM23" si="78">I23</f>
      </c>
    </row>
    <row r="24" ht="24.95" customHeight="1" spans="1:39" x14ac:dyDescent="0.25">
      <c r="A24" s="15"/>
      <c r="B24" s="27"/>
      <c r="C24" s="17"/>
      <c r="D24" s="15"/>
      <c r="E24" s="15"/>
      <c r="F24" s="15"/>
      <c r="G24" s="18"/>
      <c r="H24" s="17"/>
      <c r="I24" s="18"/>
      <c r="J24" s="18"/>
      <c r="K24" s="15"/>
      <c r="L24" s="28">
        <f t="shared" ref="L24" si="79">O23-L23</f>
      </c>
      <c r="M24" s="28"/>
      <c r="N24" s="28"/>
      <c r="O24" s="20"/>
      <c r="P24" s="20"/>
      <c r="Q24" s="12" t="s">
        <v>45</v>
      </c>
      <c r="R24" s="22"/>
      <c r="S24" s="23"/>
      <c r="T24" s="24"/>
      <c r="U24" s="15"/>
      <c r="V24" s="15"/>
      <c r="W24" s="15"/>
      <c r="X24" s="15"/>
      <c r="Y24" s="18"/>
      <c r="Z24" s="18"/>
      <c r="AA24" s="18"/>
      <c r="AB24" s="15"/>
      <c r="AC24" s="17"/>
      <c r="AD24" s="18"/>
      <c r="AE24" s="12" t="s">
        <v>46</v>
      </c>
      <c r="AF24" s="25"/>
      <c r="AG24" s="26"/>
      <c r="AH24" s="26"/>
      <c r="AI24" s="26"/>
      <c r="AJ24" s="26"/>
      <c r="AK24" s="26"/>
      <c r="AL24" s="12"/>
      <c r="AM24" s="13"/>
    </row>
    <row r="25" ht="24.95" customHeight="1" spans="1:39" x14ac:dyDescent="0.25">
      <c r="A25" s="15"/>
      <c r="B25" s="16"/>
      <c r="C25" s="17"/>
      <c r="D25" s="15"/>
      <c r="E25" s="15"/>
      <c r="F25" s="15"/>
      <c r="G25" s="18"/>
      <c r="H25" s="17"/>
      <c r="I25" s="18"/>
      <c r="J25" s="18"/>
      <c r="K25" s="15"/>
      <c r="L25" s="19"/>
      <c r="M25" s="20" t="s">
        <v>40</v>
      </c>
      <c r="N25" s="20" t="s">
        <v>41</v>
      </c>
      <c r="O25" s="20"/>
      <c r="P25" s="21" t="s">
        <v>40</v>
      </c>
      <c r="Q25" s="12" t="s">
        <v>42</v>
      </c>
      <c r="R25" s="22"/>
      <c r="S25" s="23" t="e">
        <f t="shared" ref="S25" si="80">(R26/R25)*1000000</f>
        <v>#DIV/0!</v>
      </c>
      <c r="T25" s="24" t="s">
        <v>43</v>
      </c>
      <c r="U25" s="15"/>
      <c r="V25" s="15"/>
      <c r="W25" s="15"/>
      <c r="X25" s="15"/>
      <c r="Y25" s="18"/>
      <c r="Z25" s="18"/>
      <c r="AA25" s="18"/>
      <c r="AB25" s="15"/>
      <c r="AC25" s="17"/>
      <c r="AD25" s="18"/>
      <c r="AE25" s="12" t="s">
        <v>44</v>
      </c>
      <c r="AF25" s="25"/>
      <c r="AG25" s="26">
        <f t="shared" ref="AG25" si="81">AF25+AF26</f>
      </c>
      <c r="AH25" s="26">
        <f t="shared" ref="AH25" si="82">(K25*L26)*10000</f>
      </c>
      <c r="AI25" s="26">
        <f t="shared" ref="AI25" si="83">AH25+AG25</f>
      </c>
      <c r="AJ25" s="26">
        <v>0</v>
      </c>
      <c r="AK25" s="26">
        <f t="shared" ref="AK25" si="84">AI25-AJ25</f>
      </c>
      <c r="AL25" s="12">
        <f t="shared" ref="AL25" si="85">U25</f>
      </c>
      <c r="AM25" s="13">
        <f t="shared" ref="AM25" si="86">I25</f>
      </c>
    </row>
    <row r="26" ht="24.95" customHeight="1" spans="1:39" x14ac:dyDescent="0.25">
      <c r="A26" s="15"/>
      <c r="B26" s="27"/>
      <c r="C26" s="17"/>
      <c r="D26" s="15"/>
      <c r="E26" s="15"/>
      <c r="F26" s="15"/>
      <c r="G26" s="18"/>
      <c r="H26" s="17"/>
      <c r="I26" s="18"/>
      <c r="J26" s="18"/>
      <c r="K26" s="15"/>
      <c r="L26" s="28">
        <f t="shared" ref="L26" si="87">O25-L25</f>
      </c>
      <c r="M26" s="28"/>
      <c r="N26" s="28"/>
      <c r="O26" s="20"/>
      <c r="P26" s="20"/>
      <c r="Q26" s="12" t="s">
        <v>45</v>
      </c>
      <c r="R26" s="22"/>
      <c r="S26" s="23"/>
      <c r="T26" s="24"/>
      <c r="U26" s="15"/>
      <c r="V26" s="15"/>
      <c r="W26" s="15"/>
      <c r="X26" s="15"/>
      <c r="Y26" s="18"/>
      <c r="Z26" s="18"/>
      <c r="AA26" s="18"/>
      <c r="AB26" s="15"/>
      <c r="AC26" s="17"/>
      <c r="AD26" s="18"/>
      <c r="AE26" s="12" t="s">
        <v>46</v>
      </c>
      <c r="AF26" s="25"/>
      <c r="AG26" s="26"/>
      <c r="AH26" s="26"/>
      <c r="AI26" s="26"/>
      <c r="AJ26" s="26"/>
      <c r="AK26" s="26"/>
      <c r="AL26" s="12"/>
      <c r="AM26" s="13"/>
    </row>
    <row r="27" ht="24.95" customHeight="1" spans="1:39" x14ac:dyDescent="0.25">
      <c r="A27" s="15"/>
      <c r="B27" s="16"/>
      <c r="C27" s="17"/>
      <c r="D27" s="15"/>
      <c r="E27" s="15"/>
      <c r="F27" s="15"/>
      <c r="G27" s="18"/>
      <c r="H27" s="17"/>
      <c r="I27" s="18"/>
      <c r="J27" s="18"/>
      <c r="K27" s="15"/>
      <c r="L27" s="19"/>
      <c r="M27" s="20" t="s">
        <v>40</v>
      </c>
      <c r="N27" s="20" t="s">
        <v>41</v>
      </c>
      <c r="O27" s="20"/>
      <c r="P27" s="21" t="s">
        <v>40</v>
      </c>
      <c r="Q27" s="12" t="s">
        <v>42</v>
      </c>
      <c r="R27" s="22"/>
      <c r="S27" s="23" t="e">
        <f t="shared" ref="S27" si="88">(R28/R27)*1000000</f>
        <v>#DIV/0!</v>
      </c>
      <c r="T27" s="24" t="s">
        <v>43</v>
      </c>
      <c r="U27" s="15"/>
      <c r="V27" s="15"/>
      <c r="W27" s="15"/>
      <c r="X27" s="15"/>
      <c r="Y27" s="18"/>
      <c r="Z27" s="18"/>
      <c r="AA27" s="18"/>
      <c r="AB27" s="15"/>
      <c r="AC27" s="17"/>
      <c r="AD27" s="18"/>
      <c r="AE27" s="12" t="s">
        <v>44</v>
      </c>
      <c r="AF27" s="25"/>
      <c r="AG27" s="26">
        <f t="shared" ref="AG27" si="89">AF27+AF28</f>
      </c>
      <c r="AH27" s="26">
        <f t="shared" ref="AH27" si="90">(K27*L28)*10000</f>
      </c>
      <c r="AI27" s="26">
        <f t="shared" ref="AI27" si="91">AH27+AG27</f>
      </c>
      <c r="AJ27" s="26">
        <v>0</v>
      </c>
      <c r="AK27" s="26">
        <f t="shared" ref="AK27" si="92">AI27-AJ27</f>
      </c>
      <c r="AL27" s="12">
        <f t="shared" ref="AL27" si="93">U27</f>
      </c>
      <c r="AM27" s="13">
        <f t="shared" ref="AM27" si="94">I27</f>
      </c>
    </row>
    <row r="28" ht="24.95" customHeight="1" spans="1:39" x14ac:dyDescent="0.25">
      <c r="A28" s="15"/>
      <c r="B28" s="27"/>
      <c r="C28" s="17"/>
      <c r="D28" s="15"/>
      <c r="E28" s="15"/>
      <c r="F28" s="15"/>
      <c r="G28" s="18"/>
      <c r="H28" s="17"/>
      <c r="I28" s="18"/>
      <c r="J28" s="18"/>
      <c r="K28" s="15"/>
      <c r="L28" s="28">
        <f t="shared" ref="L28" si="95">O27-L27</f>
      </c>
      <c r="M28" s="28"/>
      <c r="N28" s="28"/>
      <c r="O28" s="20"/>
      <c r="P28" s="20"/>
      <c r="Q28" s="12" t="s">
        <v>45</v>
      </c>
      <c r="R28" s="22"/>
      <c r="S28" s="23"/>
      <c r="T28" s="24"/>
      <c r="U28" s="15"/>
      <c r="V28" s="15"/>
      <c r="W28" s="15"/>
      <c r="X28" s="15"/>
      <c r="Y28" s="18"/>
      <c r="Z28" s="18"/>
      <c r="AA28" s="18"/>
      <c r="AB28" s="15"/>
      <c r="AC28" s="17"/>
      <c r="AD28" s="18"/>
      <c r="AE28" s="12" t="s">
        <v>46</v>
      </c>
      <c r="AF28" s="25"/>
      <c r="AG28" s="26"/>
      <c r="AH28" s="26"/>
      <c r="AI28" s="26"/>
      <c r="AJ28" s="26"/>
      <c r="AK28" s="26"/>
      <c r="AL28" s="12"/>
      <c r="AM28" s="13"/>
    </row>
    <row r="29" ht="24.95" customHeight="1" spans="1:39" x14ac:dyDescent="0.25">
      <c r="A29" s="15"/>
      <c r="B29" s="16"/>
      <c r="C29" s="17"/>
      <c r="D29" s="15"/>
      <c r="E29" s="15"/>
      <c r="F29" s="15"/>
      <c r="G29" s="18"/>
      <c r="H29" s="17"/>
      <c r="I29" s="18"/>
      <c r="J29" s="18"/>
      <c r="K29" s="15"/>
      <c r="L29" s="19"/>
      <c r="M29" s="20" t="s">
        <v>40</v>
      </c>
      <c r="N29" s="20" t="s">
        <v>41</v>
      </c>
      <c r="O29" s="20"/>
      <c r="P29" s="21" t="s">
        <v>40</v>
      </c>
      <c r="Q29" s="12" t="s">
        <v>42</v>
      </c>
      <c r="R29" s="22"/>
      <c r="S29" s="23" t="e">
        <f t="shared" ref="S29" si="96">(R30/R29)*1000000</f>
        <v>#DIV/0!</v>
      </c>
      <c r="T29" s="24" t="s">
        <v>43</v>
      </c>
      <c r="U29" s="15"/>
      <c r="V29" s="15"/>
      <c r="W29" s="15"/>
      <c r="X29" s="15"/>
      <c r="Y29" s="18"/>
      <c r="Z29" s="18"/>
      <c r="AA29" s="18"/>
      <c r="AB29" s="15"/>
      <c r="AC29" s="17"/>
      <c r="AD29" s="18"/>
      <c r="AE29" s="12" t="s">
        <v>44</v>
      </c>
      <c r="AF29" s="25"/>
      <c r="AG29" s="26">
        <f t="shared" ref="AG29" si="97">AF29+AF30</f>
      </c>
      <c r="AH29" s="26">
        <f t="shared" ref="AH29" si="98">(K29*L30)*10000</f>
      </c>
      <c r="AI29" s="26">
        <f t="shared" ref="AI29" si="99">AH29+AG29</f>
      </c>
      <c r="AJ29" s="26">
        <v>0</v>
      </c>
      <c r="AK29" s="26">
        <f t="shared" ref="AK29" si="100">AI29-AJ29</f>
      </c>
      <c r="AL29" s="12">
        <f t="shared" ref="AL29" si="101">U29</f>
      </c>
      <c r="AM29" s="13">
        <f t="shared" ref="AM29" si="102">I29</f>
      </c>
    </row>
    <row r="30" ht="24.95" customHeight="1" spans="1:39" x14ac:dyDescent="0.25">
      <c r="A30" s="15"/>
      <c r="B30" s="27"/>
      <c r="C30" s="17"/>
      <c r="D30" s="15"/>
      <c r="E30" s="15"/>
      <c r="F30" s="15"/>
      <c r="G30" s="18"/>
      <c r="H30" s="17"/>
      <c r="I30" s="18"/>
      <c r="J30" s="18"/>
      <c r="K30" s="15"/>
      <c r="L30" s="28">
        <f t="shared" ref="L30" si="103">O29-L29</f>
      </c>
      <c r="M30" s="28"/>
      <c r="N30" s="28"/>
      <c r="O30" s="20"/>
      <c r="P30" s="20"/>
      <c r="Q30" s="12" t="s">
        <v>45</v>
      </c>
      <c r="R30" s="22"/>
      <c r="S30" s="23"/>
      <c r="T30" s="24"/>
      <c r="U30" s="15"/>
      <c r="V30" s="15"/>
      <c r="W30" s="15"/>
      <c r="X30" s="15"/>
      <c r="Y30" s="18"/>
      <c r="Z30" s="18"/>
      <c r="AA30" s="18"/>
      <c r="AB30" s="15"/>
      <c r="AC30" s="17"/>
      <c r="AD30" s="18"/>
      <c r="AE30" s="12" t="s">
        <v>46</v>
      </c>
      <c r="AF30" s="25"/>
      <c r="AG30" s="26"/>
      <c r="AH30" s="26"/>
      <c r="AI30" s="26"/>
      <c r="AJ30" s="26"/>
      <c r="AK30" s="26"/>
      <c r="AL30" s="12"/>
      <c r="AM30" s="13"/>
    </row>
    <row r="31" ht="24.95" customHeight="1" spans="1:39" x14ac:dyDescent="0.25">
      <c r="A31" s="15"/>
      <c r="B31" s="16"/>
      <c r="C31" s="17"/>
      <c r="D31" s="15"/>
      <c r="E31" s="15"/>
      <c r="F31" s="15"/>
      <c r="G31" s="18"/>
      <c r="H31" s="17"/>
      <c r="I31" s="18"/>
      <c r="J31" s="18"/>
      <c r="K31" s="15"/>
      <c r="L31" s="19"/>
      <c r="M31" s="20" t="s">
        <v>40</v>
      </c>
      <c r="N31" s="20" t="s">
        <v>41</v>
      </c>
      <c r="O31" s="20"/>
      <c r="P31" s="21" t="s">
        <v>40</v>
      </c>
      <c r="Q31" s="12" t="s">
        <v>42</v>
      </c>
      <c r="R31" s="22"/>
      <c r="S31" s="23" t="e">
        <f t="shared" ref="S31" si="104">(R32/R31)*1000000</f>
        <v>#DIV/0!</v>
      </c>
      <c r="T31" s="24" t="s">
        <v>43</v>
      </c>
      <c r="U31" s="15"/>
      <c r="V31" s="15"/>
      <c r="W31" s="15"/>
      <c r="X31" s="15"/>
      <c r="Y31" s="18"/>
      <c r="Z31" s="18"/>
      <c r="AA31" s="18"/>
      <c r="AB31" s="15"/>
      <c r="AC31" s="17"/>
      <c r="AD31" s="18"/>
      <c r="AE31" s="12" t="s">
        <v>44</v>
      </c>
      <c r="AF31" s="25"/>
      <c r="AG31" s="26">
        <f t="shared" ref="AG31" si="105">AF31+AF32</f>
      </c>
      <c r="AH31" s="26">
        <f t="shared" ref="AH31" si="106">(K31*L32)*10000</f>
      </c>
      <c r="AI31" s="26">
        <f t="shared" ref="AI31" si="107">AH31+AG31</f>
      </c>
      <c r="AJ31" s="26">
        <v>0</v>
      </c>
      <c r="AK31" s="26">
        <f t="shared" ref="AK31" si="108">AI31-AJ31</f>
      </c>
      <c r="AL31" s="12">
        <f t="shared" ref="AL31" si="109">U31</f>
      </c>
      <c r="AM31" s="13">
        <f t="shared" ref="AM31" si="110">I31</f>
      </c>
    </row>
    <row r="32" ht="24.95" customHeight="1" spans="1:39" x14ac:dyDescent="0.25">
      <c r="A32" s="15"/>
      <c r="B32" s="27"/>
      <c r="C32" s="17"/>
      <c r="D32" s="15"/>
      <c r="E32" s="15"/>
      <c r="F32" s="15"/>
      <c r="G32" s="18"/>
      <c r="H32" s="17"/>
      <c r="I32" s="18"/>
      <c r="J32" s="18"/>
      <c r="K32" s="15"/>
      <c r="L32" s="28">
        <f t="shared" ref="L32" si="111">O31-L31</f>
      </c>
      <c r="M32" s="28"/>
      <c r="N32" s="28"/>
      <c r="O32" s="20"/>
      <c r="P32" s="20"/>
      <c r="Q32" s="12" t="s">
        <v>45</v>
      </c>
      <c r="R32" s="22"/>
      <c r="S32" s="23"/>
      <c r="T32" s="24"/>
      <c r="U32" s="15"/>
      <c r="V32" s="15"/>
      <c r="W32" s="15"/>
      <c r="X32" s="15"/>
      <c r="Y32" s="18"/>
      <c r="Z32" s="18"/>
      <c r="AA32" s="18"/>
      <c r="AB32" s="15"/>
      <c r="AC32" s="17"/>
      <c r="AD32" s="18"/>
      <c r="AE32" s="12" t="s">
        <v>46</v>
      </c>
      <c r="AF32" s="25"/>
      <c r="AG32" s="26"/>
      <c r="AH32" s="26"/>
      <c r="AI32" s="26"/>
      <c r="AJ32" s="26"/>
      <c r="AK32" s="26"/>
      <c r="AL32" s="12"/>
      <c r="AM32" s="13"/>
    </row>
    <row r="33" ht="24.95" customHeight="1" spans="1:39" x14ac:dyDescent="0.25">
      <c r="A33" s="15"/>
      <c r="B33" s="16"/>
      <c r="C33" s="17"/>
      <c r="D33" s="15"/>
      <c r="E33" s="15"/>
      <c r="F33" s="15"/>
      <c r="G33" s="18"/>
      <c r="H33" s="17"/>
      <c r="I33" s="18"/>
      <c r="J33" s="18"/>
      <c r="K33" s="15"/>
      <c r="L33" s="19"/>
      <c r="M33" s="20" t="s">
        <v>40</v>
      </c>
      <c r="N33" s="20" t="s">
        <v>41</v>
      </c>
      <c r="O33" s="20"/>
      <c r="P33" s="21" t="s">
        <v>40</v>
      </c>
      <c r="Q33" s="12" t="s">
        <v>42</v>
      </c>
      <c r="R33" s="22"/>
      <c r="S33" s="23" t="e">
        <f t="shared" ref="S33" si="112">(R34/R33)*1000000</f>
        <v>#DIV/0!</v>
      </c>
      <c r="T33" s="24" t="s">
        <v>43</v>
      </c>
      <c r="U33" s="15"/>
      <c r="V33" s="15"/>
      <c r="W33" s="15"/>
      <c r="X33" s="15"/>
      <c r="Y33" s="18"/>
      <c r="Z33" s="18"/>
      <c r="AA33" s="18"/>
      <c r="AB33" s="15"/>
      <c r="AC33" s="17"/>
      <c r="AD33" s="18"/>
      <c r="AE33" s="12" t="s">
        <v>44</v>
      </c>
      <c r="AF33" s="25"/>
      <c r="AG33" s="26">
        <f t="shared" ref="AG33" si="113">AF33+AF34</f>
      </c>
      <c r="AH33" s="26">
        <f t="shared" ref="AH33" si="114">(K33*L34)*10000</f>
      </c>
      <c r="AI33" s="26">
        <f t="shared" ref="AI33" si="115">AH33+AG33</f>
      </c>
      <c r="AJ33" s="26">
        <v>0</v>
      </c>
      <c r="AK33" s="26">
        <f t="shared" ref="AK33" si="116">AI33-AJ33</f>
      </c>
      <c r="AL33" s="12">
        <f t="shared" ref="AL33" si="117">U33</f>
      </c>
      <c r="AM33" s="13">
        <f t="shared" ref="AM33" si="118">I33</f>
      </c>
    </row>
    <row r="34" ht="24.95" customHeight="1" spans="1:39" x14ac:dyDescent="0.25">
      <c r="A34" s="15"/>
      <c r="B34" s="27"/>
      <c r="C34" s="17"/>
      <c r="D34" s="15"/>
      <c r="E34" s="15"/>
      <c r="F34" s="15"/>
      <c r="G34" s="18"/>
      <c r="H34" s="17"/>
      <c r="I34" s="18"/>
      <c r="J34" s="18"/>
      <c r="K34" s="15"/>
      <c r="L34" s="28">
        <f t="shared" ref="L34" si="119">O33-L33</f>
      </c>
      <c r="M34" s="28"/>
      <c r="N34" s="28"/>
      <c r="O34" s="20"/>
      <c r="P34" s="20"/>
      <c r="Q34" s="12" t="s">
        <v>45</v>
      </c>
      <c r="R34" s="22"/>
      <c r="S34" s="23"/>
      <c r="T34" s="24"/>
      <c r="U34" s="15"/>
      <c r="V34" s="15"/>
      <c r="W34" s="15"/>
      <c r="X34" s="15"/>
      <c r="Y34" s="18"/>
      <c r="Z34" s="18"/>
      <c r="AA34" s="18"/>
      <c r="AB34" s="15"/>
      <c r="AC34" s="17"/>
      <c r="AD34" s="18"/>
      <c r="AE34" s="12" t="s">
        <v>46</v>
      </c>
      <c r="AF34" s="25"/>
      <c r="AG34" s="26"/>
      <c r="AH34" s="26"/>
      <c r="AI34" s="26"/>
      <c r="AJ34" s="26"/>
      <c r="AK34" s="26"/>
      <c r="AL34" s="12"/>
      <c r="AM34" s="13"/>
    </row>
    <row r="35" ht="24.95" customHeight="1" spans="1:39" x14ac:dyDescent="0.25">
      <c r="A35" s="15"/>
      <c r="B35" s="16"/>
      <c r="C35" s="17"/>
      <c r="D35" s="15"/>
      <c r="E35" s="15"/>
      <c r="F35" s="15"/>
      <c r="G35" s="18"/>
      <c r="H35" s="17"/>
      <c r="I35" s="18"/>
      <c r="J35" s="18"/>
      <c r="K35" s="15"/>
      <c r="L35" s="19"/>
      <c r="M35" s="20" t="s">
        <v>40</v>
      </c>
      <c r="N35" s="20" t="s">
        <v>41</v>
      </c>
      <c r="O35" s="20"/>
      <c r="P35" s="21" t="s">
        <v>40</v>
      </c>
      <c r="Q35" s="12" t="s">
        <v>42</v>
      </c>
      <c r="R35" s="22"/>
      <c r="S35" s="23" t="e">
        <f t="shared" ref="S35" si="120">(R36/R35)*1000000</f>
        <v>#DIV/0!</v>
      </c>
      <c r="T35" s="24" t="s">
        <v>43</v>
      </c>
      <c r="U35" s="15"/>
      <c r="V35" s="15"/>
      <c r="W35" s="15"/>
      <c r="X35" s="15"/>
      <c r="Y35" s="18"/>
      <c r="Z35" s="18"/>
      <c r="AA35" s="18"/>
      <c r="AB35" s="15"/>
      <c r="AC35" s="17"/>
      <c r="AD35" s="18"/>
      <c r="AE35" s="12" t="s">
        <v>44</v>
      </c>
      <c r="AF35" s="25"/>
      <c r="AG35" s="26">
        <f t="shared" ref="AG35" si="121">AF35+AF36</f>
      </c>
      <c r="AH35" s="26">
        <f t="shared" ref="AH35" si="122">(K35*L36)*10000</f>
      </c>
      <c r="AI35" s="26">
        <f t="shared" ref="AI35" si="123">AH35+AG35</f>
      </c>
      <c r="AJ35" s="26">
        <v>0</v>
      </c>
      <c r="AK35" s="26">
        <f t="shared" ref="AK35" si="124">AI35-AJ35</f>
      </c>
      <c r="AL35" s="12">
        <f t="shared" ref="AL35" si="125">U35</f>
      </c>
      <c r="AM35" s="13">
        <f t="shared" ref="AM35" si="126">I35</f>
      </c>
    </row>
    <row r="36" ht="24.95" customHeight="1" spans="1:39" x14ac:dyDescent="0.25">
      <c r="A36" s="15"/>
      <c r="B36" s="27"/>
      <c r="C36" s="17"/>
      <c r="D36" s="15"/>
      <c r="E36" s="15"/>
      <c r="F36" s="15"/>
      <c r="G36" s="18"/>
      <c r="H36" s="17"/>
      <c r="I36" s="18"/>
      <c r="J36" s="18"/>
      <c r="K36" s="15"/>
      <c r="L36" s="28">
        <f t="shared" ref="L36" si="127">O35-L35</f>
      </c>
      <c r="M36" s="28"/>
      <c r="N36" s="28"/>
      <c r="O36" s="20"/>
      <c r="P36" s="20"/>
      <c r="Q36" s="12" t="s">
        <v>45</v>
      </c>
      <c r="R36" s="22"/>
      <c r="S36" s="23"/>
      <c r="T36" s="24"/>
      <c r="U36" s="15"/>
      <c r="V36" s="15"/>
      <c r="W36" s="15"/>
      <c r="X36" s="15"/>
      <c r="Y36" s="18"/>
      <c r="Z36" s="18"/>
      <c r="AA36" s="18"/>
      <c r="AB36" s="15"/>
      <c r="AC36" s="17"/>
      <c r="AD36" s="18"/>
      <c r="AE36" s="12" t="s">
        <v>46</v>
      </c>
      <c r="AF36" s="25"/>
      <c r="AG36" s="26"/>
      <c r="AH36" s="26"/>
      <c r="AI36" s="26"/>
      <c r="AJ36" s="26"/>
      <c r="AK36" s="26"/>
      <c r="AL36" s="12"/>
      <c r="AM36" s="13"/>
    </row>
    <row r="37" ht="24.95" customHeight="1" spans="1:39" x14ac:dyDescent="0.25">
      <c r="A37" s="15"/>
      <c r="B37" s="16"/>
      <c r="C37" s="17"/>
      <c r="D37" s="15"/>
      <c r="E37" s="15"/>
      <c r="F37" s="15"/>
      <c r="G37" s="18"/>
      <c r="H37" s="17"/>
      <c r="I37" s="18"/>
      <c r="J37" s="18"/>
      <c r="K37" s="15"/>
      <c r="L37" s="19"/>
      <c r="M37" s="20" t="s">
        <v>40</v>
      </c>
      <c r="N37" s="20" t="s">
        <v>41</v>
      </c>
      <c r="O37" s="20"/>
      <c r="P37" s="21" t="s">
        <v>40</v>
      </c>
      <c r="Q37" s="12" t="s">
        <v>42</v>
      </c>
      <c r="R37" s="22"/>
      <c r="S37" s="23" t="e">
        <f t="shared" ref="S37" si="128">(R38/R37)*1000000</f>
        <v>#DIV/0!</v>
      </c>
      <c r="T37" s="24" t="s">
        <v>43</v>
      </c>
      <c r="U37" s="15"/>
      <c r="V37" s="15"/>
      <c r="W37" s="15"/>
      <c r="X37" s="15"/>
      <c r="Y37" s="18"/>
      <c r="Z37" s="18"/>
      <c r="AA37" s="18"/>
      <c r="AB37" s="15"/>
      <c r="AC37" s="17"/>
      <c r="AD37" s="18"/>
      <c r="AE37" s="12" t="s">
        <v>44</v>
      </c>
      <c r="AF37" s="25"/>
      <c r="AG37" s="26">
        <f t="shared" ref="AG37" si="129">AF37+AF38</f>
      </c>
      <c r="AH37" s="26">
        <f t="shared" ref="AH37" si="130">(K37*L38)*10000</f>
      </c>
      <c r="AI37" s="26">
        <f t="shared" ref="AI37" si="131">AH37+AG37</f>
      </c>
      <c r="AJ37" s="26">
        <v>0</v>
      </c>
      <c r="AK37" s="26">
        <f t="shared" ref="AK37" si="132">AI37-AJ37</f>
      </c>
      <c r="AL37" s="12">
        <f t="shared" ref="AL37" si="133">U37</f>
      </c>
      <c r="AM37" s="13">
        <f t="shared" ref="AM37" si="134">I37</f>
      </c>
    </row>
    <row r="38" ht="24.95" customHeight="1" spans="1:39" x14ac:dyDescent="0.25">
      <c r="A38" s="15"/>
      <c r="B38" s="27"/>
      <c r="C38" s="17"/>
      <c r="D38" s="15"/>
      <c r="E38" s="15"/>
      <c r="F38" s="15"/>
      <c r="G38" s="18"/>
      <c r="H38" s="17"/>
      <c r="I38" s="18"/>
      <c r="J38" s="18"/>
      <c r="K38" s="15"/>
      <c r="L38" s="28">
        <f t="shared" ref="L38" si="135">O37-L37</f>
      </c>
      <c r="M38" s="28"/>
      <c r="N38" s="28"/>
      <c r="O38" s="20"/>
      <c r="P38" s="20"/>
      <c r="Q38" s="12" t="s">
        <v>45</v>
      </c>
      <c r="R38" s="22"/>
      <c r="S38" s="23"/>
      <c r="T38" s="24"/>
      <c r="U38" s="15"/>
      <c r="V38" s="15"/>
      <c r="W38" s="15"/>
      <c r="X38" s="15"/>
      <c r="Y38" s="18"/>
      <c r="Z38" s="18"/>
      <c r="AA38" s="18"/>
      <c r="AB38" s="15"/>
      <c r="AC38" s="17"/>
      <c r="AD38" s="18"/>
      <c r="AE38" s="12" t="s">
        <v>46</v>
      </c>
      <c r="AF38" s="25"/>
      <c r="AG38" s="26"/>
      <c r="AH38" s="26"/>
      <c r="AI38" s="26"/>
      <c r="AJ38" s="26"/>
      <c r="AK38" s="26"/>
      <c r="AL38" s="12"/>
      <c r="AM38" s="13"/>
    </row>
    <row r="39" ht="24.95" customHeight="1" spans="1:39" x14ac:dyDescent="0.25">
      <c r="A39" s="15"/>
      <c r="B39" s="16"/>
      <c r="C39" s="17"/>
      <c r="D39" s="15"/>
      <c r="E39" s="15"/>
      <c r="F39" s="15"/>
      <c r="G39" s="18"/>
      <c r="H39" s="17"/>
      <c r="I39" s="18"/>
      <c r="J39" s="18"/>
      <c r="K39" s="15"/>
      <c r="L39" s="19"/>
      <c r="M39" s="20" t="s">
        <v>40</v>
      </c>
      <c r="N39" s="20" t="s">
        <v>41</v>
      </c>
      <c r="O39" s="20"/>
      <c r="P39" s="21" t="s">
        <v>40</v>
      </c>
      <c r="Q39" s="12" t="s">
        <v>42</v>
      </c>
      <c r="R39" s="22"/>
      <c r="S39" s="23" t="e">
        <f t="shared" ref="S39" si="136">(R40/R39)*1000000</f>
        <v>#DIV/0!</v>
      </c>
      <c r="T39" s="24" t="s">
        <v>43</v>
      </c>
      <c r="U39" s="15"/>
      <c r="V39" s="15"/>
      <c r="W39" s="15"/>
      <c r="X39" s="15"/>
      <c r="Y39" s="18"/>
      <c r="Z39" s="18"/>
      <c r="AA39" s="18"/>
      <c r="AB39" s="15"/>
      <c r="AC39" s="17"/>
      <c r="AD39" s="18"/>
      <c r="AE39" s="12" t="s">
        <v>44</v>
      </c>
      <c r="AF39" s="25"/>
      <c r="AG39" s="26">
        <f t="shared" ref="AG39" si="137">AF39+AF40</f>
      </c>
      <c r="AH39" s="26">
        <f t="shared" ref="AH39" si="138">(K39*L40)*10000</f>
      </c>
      <c r="AI39" s="26">
        <f t="shared" ref="AI39" si="139">AH39+AG39</f>
      </c>
      <c r="AJ39" s="26">
        <v>0</v>
      </c>
      <c r="AK39" s="26">
        <f t="shared" ref="AK39" si="140">AI39-AJ39</f>
      </c>
      <c r="AL39" s="12">
        <f t="shared" ref="AL39" si="141">U39</f>
      </c>
      <c r="AM39" s="13">
        <f t="shared" ref="AM39" si="142">I39</f>
      </c>
    </row>
    <row r="40" ht="24.95" customHeight="1" spans="1:39" x14ac:dyDescent="0.25">
      <c r="A40" s="15"/>
      <c r="B40" s="27"/>
      <c r="C40" s="17"/>
      <c r="D40" s="15"/>
      <c r="E40" s="15"/>
      <c r="F40" s="15"/>
      <c r="G40" s="18"/>
      <c r="H40" s="17"/>
      <c r="I40" s="18"/>
      <c r="J40" s="18"/>
      <c r="K40" s="15"/>
      <c r="L40" s="28">
        <f t="shared" ref="L40" si="143">O39-L39</f>
      </c>
      <c r="M40" s="28"/>
      <c r="N40" s="28"/>
      <c r="O40" s="20"/>
      <c r="P40" s="20"/>
      <c r="Q40" s="12" t="s">
        <v>45</v>
      </c>
      <c r="R40" s="22"/>
      <c r="S40" s="23"/>
      <c r="T40" s="24"/>
      <c r="U40" s="15"/>
      <c r="V40" s="15"/>
      <c r="W40" s="15"/>
      <c r="X40" s="15"/>
      <c r="Y40" s="18"/>
      <c r="Z40" s="18"/>
      <c r="AA40" s="18"/>
      <c r="AB40" s="15"/>
      <c r="AC40" s="17"/>
      <c r="AD40" s="18"/>
      <c r="AE40" s="12" t="s">
        <v>46</v>
      </c>
      <c r="AF40" s="25"/>
      <c r="AG40" s="26"/>
      <c r="AH40" s="26"/>
      <c r="AI40" s="26"/>
      <c r="AJ40" s="26"/>
      <c r="AK40" s="26"/>
      <c r="AL40" s="12"/>
      <c r="AM40" s="13"/>
    </row>
    <row r="41" ht="24.95" customHeight="1" spans="1:39" x14ac:dyDescent="0.25">
      <c r="A41" s="15"/>
      <c r="B41" s="16"/>
      <c r="C41" s="17"/>
      <c r="D41" s="15"/>
      <c r="E41" s="15"/>
      <c r="F41" s="15"/>
      <c r="G41" s="18"/>
      <c r="H41" s="17"/>
      <c r="I41" s="18"/>
      <c r="J41" s="18"/>
      <c r="K41" s="15"/>
      <c r="L41" s="19"/>
      <c r="M41" s="20" t="s">
        <v>40</v>
      </c>
      <c r="N41" s="20" t="s">
        <v>41</v>
      </c>
      <c r="O41" s="20"/>
      <c r="P41" s="21" t="s">
        <v>40</v>
      </c>
      <c r="Q41" s="12" t="s">
        <v>42</v>
      </c>
      <c r="R41" s="22"/>
      <c r="S41" s="23" t="e">
        <f t="shared" ref="S41" si="144">(R42/R41)*1000000</f>
        <v>#DIV/0!</v>
      </c>
      <c r="T41" s="24" t="s">
        <v>43</v>
      </c>
      <c r="U41" s="15"/>
      <c r="V41" s="15"/>
      <c r="W41" s="15"/>
      <c r="X41" s="15"/>
      <c r="Y41" s="18"/>
      <c r="Z41" s="18"/>
      <c r="AA41" s="18"/>
      <c r="AB41" s="15"/>
      <c r="AC41" s="17"/>
      <c r="AD41" s="18"/>
      <c r="AE41" s="12" t="s">
        <v>44</v>
      </c>
      <c r="AF41" s="25"/>
      <c r="AG41" s="26">
        <f t="shared" ref="AG41" si="145">AF41+AF42</f>
      </c>
      <c r="AH41" s="26">
        <f t="shared" ref="AH41" si="146">(K41*L42)*10000</f>
      </c>
      <c r="AI41" s="26">
        <f t="shared" ref="AI41" si="147">AH41+AG41</f>
      </c>
      <c r="AJ41" s="26">
        <v>0</v>
      </c>
      <c r="AK41" s="26">
        <f t="shared" ref="AK41" si="148">AI41-AJ41</f>
      </c>
      <c r="AL41" s="12">
        <f t="shared" ref="AL41" si="149">U41</f>
      </c>
      <c r="AM41" s="13">
        <f t="shared" ref="AM41" si="150">I41</f>
      </c>
    </row>
    <row r="42" ht="24.95" customHeight="1" spans="1:39" x14ac:dyDescent="0.25">
      <c r="A42" s="15"/>
      <c r="B42" s="27"/>
      <c r="C42" s="17"/>
      <c r="D42" s="15"/>
      <c r="E42" s="15"/>
      <c r="F42" s="15"/>
      <c r="G42" s="18"/>
      <c r="H42" s="17"/>
      <c r="I42" s="18"/>
      <c r="J42" s="18"/>
      <c r="K42" s="15"/>
      <c r="L42" s="28">
        <f t="shared" ref="L42" si="151">O41-L41</f>
      </c>
      <c r="M42" s="28"/>
      <c r="N42" s="28"/>
      <c r="O42" s="20" t="s">
        <v>47</v>
      </c>
      <c r="P42" s="20"/>
      <c r="Q42" s="12" t="s">
        <v>45</v>
      </c>
      <c r="R42" s="22"/>
      <c r="S42" s="23"/>
      <c r="T42" s="24"/>
      <c r="U42" s="15"/>
      <c r="V42" s="15"/>
      <c r="W42" s="15"/>
      <c r="X42" s="15"/>
      <c r="Y42" s="18"/>
      <c r="Z42" s="18"/>
      <c r="AA42" s="18"/>
      <c r="AB42" s="15"/>
      <c r="AC42" s="17"/>
      <c r="AD42" s="18"/>
      <c r="AE42" s="12" t="s">
        <v>46</v>
      </c>
      <c r="AF42" s="25"/>
      <c r="AG42" s="26"/>
      <c r="AH42" s="26"/>
      <c r="AI42" s="26"/>
      <c r="AJ42" s="26"/>
      <c r="AK42" s="26"/>
      <c r="AL42" s="12"/>
      <c r="AM42" s="13"/>
    </row>
    <row r="43" ht="24.95" customHeight="1" spans="1:39" x14ac:dyDescent="0.25">
      <c r="A43" s="15"/>
      <c r="B43" s="16"/>
      <c r="C43" s="17"/>
      <c r="D43" s="15"/>
      <c r="E43" s="15"/>
      <c r="F43" s="15"/>
      <c r="G43" s="18"/>
      <c r="H43" s="17"/>
      <c r="I43" s="18"/>
      <c r="J43" s="18"/>
      <c r="K43" s="15"/>
      <c r="L43" s="19"/>
      <c r="M43" s="20" t="s">
        <v>40</v>
      </c>
      <c r="N43" s="20" t="s">
        <v>41</v>
      </c>
      <c r="O43" s="20"/>
      <c r="P43" s="21" t="s">
        <v>40</v>
      </c>
      <c r="Q43" s="12" t="s">
        <v>42</v>
      </c>
      <c r="R43" s="22"/>
      <c r="S43" s="23" t="e">
        <f t="shared" ref="S43" si="152">(R44/R43)*1000000</f>
        <v>#DIV/0!</v>
      </c>
      <c r="T43" s="24" t="s">
        <v>43</v>
      </c>
      <c r="U43" s="15"/>
      <c r="V43" s="15"/>
      <c r="W43" s="15"/>
      <c r="X43" s="15"/>
      <c r="Y43" s="18"/>
      <c r="Z43" s="18"/>
      <c r="AA43" s="18"/>
      <c r="AB43" s="15"/>
      <c r="AC43" s="17"/>
      <c r="AD43" s="18"/>
      <c r="AE43" s="12" t="s">
        <v>44</v>
      </c>
      <c r="AF43" s="25"/>
      <c r="AG43" s="26">
        <f t="shared" ref="AG43" si="153">AF43+AF44</f>
      </c>
      <c r="AH43" s="26">
        <f t="shared" ref="AH43" si="154">(K43*L44)*10000</f>
      </c>
      <c r="AI43" s="26">
        <f t="shared" ref="AI43" si="155">AH43+AG43</f>
      </c>
      <c r="AJ43" s="26">
        <v>0</v>
      </c>
      <c r="AK43" s="26">
        <f t="shared" ref="AK43" si="156">AI43-AJ43</f>
      </c>
      <c r="AL43" s="12">
        <f t="shared" ref="AL43" si="157">U43</f>
      </c>
      <c r="AM43" s="13">
        <f t="shared" ref="AM43" si="158">I43</f>
      </c>
    </row>
    <row r="44" ht="24.95" customHeight="1" spans="1:39" x14ac:dyDescent="0.25">
      <c r="A44" s="15"/>
      <c r="B44" s="27"/>
      <c r="C44" s="17"/>
      <c r="D44" s="15"/>
      <c r="E44" s="15"/>
      <c r="F44" s="15"/>
      <c r="G44" s="18"/>
      <c r="H44" s="17"/>
      <c r="I44" s="18"/>
      <c r="J44" s="18"/>
      <c r="K44" s="15"/>
      <c r="L44" s="28">
        <f t="shared" ref="L44" si="159">O43-L43</f>
      </c>
      <c r="M44" s="28"/>
      <c r="N44" s="28"/>
      <c r="O44" s="20" t="s">
        <v>47</v>
      </c>
      <c r="P44" s="20"/>
      <c r="Q44" s="12" t="s">
        <v>45</v>
      </c>
      <c r="R44" s="22"/>
      <c r="S44" s="23"/>
      <c r="T44" s="24"/>
      <c r="U44" s="15"/>
      <c r="V44" s="15"/>
      <c r="W44" s="15"/>
      <c r="X44" s="15"/>
      <c r="Y44" s="18"/>
      <c r="Z44" s="18"/>
      <c r="AA44" s="18"/>
      <c r="AB44" s="15"/>
      <c r="AC44" s="17"/>
      <c r="AD44" s="18"/>
      <c r="AE44" s="12" t="s">
        <v>46</v>
      </c>
      <c r="AF44" s="25"/>
      <c r="AG44" s="26"/>
      <c r="AH44" s="26"/>
      <c r="AI44" s="26"/>
      <c r="AJ44" s="26"/>
      <c r="AK44" s="26"/>
      <c r="AL44" s="12"/>
      <c r="AM44" s="13"/>
    </row>
    <row r="45" ht="24.95" customHeight="1" spans="1:39" x14ac:dyDescent="0.25">
      <c r="A45" s="15"/>
      <c r="B45" s="16"/>
      <c r="C45" s="17"/>
      <c r="D45" s="15"/>
      <c r="E45" s="15"/>
      <c r="F45" s="15"/>
      <c r="G45" s="18"/>
      <c r="H45" s="17"/>
      <c r="I45" s="18"/>
      <c r="J45" s="18"/>
      <c r="K45" s="15"/>
      <c r="L45" s="19"/>
      <c r="M45" s="20" t="s">
        <v>40</v>
      </c>
      <c r="N45" s="20" t="s">
        <v>41</v>
      </c>
      <c r="O45" s="20"/>
      <c r="P45" s="21" t="s">
        <v>40</v>
      </c>
      <c r="Q45" s="12" t="s">
        <v>42</v>
      </c>
      <c r="R45" s="22"/>
      <c r="S45" s="23" t="e">
        <f t="shared" ref="S45" si="160">(R46/R45)*1000000</f>
        <v>#DIV/0!</v>
      </c>
      <c r="T45" s="24" t="s">
        <v>43</v>
      </c>
      <c r="U45" s="15"/>
      <c r="V45" s="15"/>
      <c r="W45" s="15"/>
      <c r="X45" s="15"/>
      <c r="Y45" s="18"/>
      <c r="Z45" s="18"/>
      <c r="AA45" s="18"/>
      <c r="AB45" s="15"/>
      <c r="AC45" s="17"/>
      <c r="AD45" s="18"/>
      <c r="AE45" s="12" t="s">
        <v>44</v>
      </c>
      <c r="AF45" s="25"/>
      <c r="AG45" s="26">
        <f t="shared" ref="AG45" si="161">AF45+AF46</f>
      </c>
      <c r="AH45" s="26">
        <f t="shared" ref="AH45" si="162">(K45*L46)*10000</f>
      </c>
      <c r="AI45" s="26">
        <f t="shared" ref="AI45" si="163">AH45+AG45</f>
      </c>
      <c r="AJ45" s="26">
        <v>0</v>
      </c>
      <c r="AK45" s="26">
        <f t="shared" ref="AK45" si="164">AI45-AJ45</f>
      </c>
      <c r="AL45" s="12">
        <f t="shared" ref="AL45" si="165">U45</f>
      </c>
      <c r="AM45" s="13">
        <f t="shared" ref="AM45" si="166">I45</f>
      </c>
    </row>
    <row r="46" ht="24.95" customHeight="1" spans="1:39" x14ac:dyDescent="0.25">
      <c r="A46" s="15"/>
      <c r="B46" s="27"/>
      <c r="C46" s="17"/>
      <c r="D46" s="15"/>
      <c r="E46" s="15"/>
      <c r="F46" s="15"/>
      <c r="G46" s="18"/>
      <c r="H46" s="17"/>
      <c r="I46" s="18"/>
      <c r="J46" s="18"/>
      <c r="K46" s="15"/>
      <c r="L46" s="28">
        <f t="shared" ref="L46" si="167">O45-L45</f>
      </c>
      <c r="M46" s="28"/>
      <c r="N46" s="28"/>
      <c r="O46" s="20" t="s">
        <v>47</v>
      </c>
      <c r="P46" s="20"/>
      <c r="Q46" s="12" t="s">
        <v>45</v>
      </c>
      <c r="R46" s="22"/>
      <c r="S46" s="23"/>
      <c r="T46" s="24"/>
      <c r="U46" s="15"/>
      <c r="V46" s="15"/>
      <c r="W46" s="15"/>
      <c r="X46" s="15"/>
      <c r="Y46" s="18"/>
      <c r="Z46" s="18"/>
      <c r="AA46" s="18"/>
      <c r="AB46" s="15"/>
      <c r="AC46" s="17"/>
      <c r="AD46" s="18"/>
      <c r="AE46" s="12" t="s">
        <v>46</v>
      </c>
      <c r="AF46" s="25"/>
      <c r="AG46" s="26"/>
      <c r="AH46" s="26"/>
      <c r="AI46" s="26"/>
      <c r="AJ46" s="26"/>
      <c r="AK46" s="26"/>
      <c r="AL46" s="12"/>
      <c r="AM46" s="13"/>
    </row>
    <row r="47" ht="24.95" customHeight="1" spans="1:39" x14ac:dyDescent="0.25">
      <c r="A47" s="15"/>
      <c r="B47" s="16"/>
      <c r="C47" s="17"/>
      <c r="D47" s="15"/>
      <c r="E47" s="15"/>
      <c r="F47" s="15"/>
      <c r="G47" s="18"/>
      <c r="H47" s="17"/>
      <c r="I47" s="18"/>
      <c r="J47" s="18"/>
      <c r="K47" s="15"/>
      <c r="L47" s="19"/>
      <c r="M47" s="20" t="s">
        <v>40</v>
      </c>
      <c r="N47" s="20" t="s">
        <v>41</v>
      </c>
      <c r="O47" s="20"/>
      <c r="P47" s="21" t="s">
        <v>40</v>
      </c>
      <c r="Q47" s="12" t="s">
        <v>42</v>
      </c>
      <c r="R47" s="22"/>
      <c r="S47" s="23" t="e">
        <f t="shared" ref="S47" si="168">(R48/R47)*1000000</f>
        <v>#DIV/0!</v>
      </c>
      <c r="T47" s="24" t="s">
        <v>43</v>
      </c>
      <c r="U47" s="15"/>
      <c r="V47" s="15"/>
      <c r="W47" s="15"/>
      <c r="X47" s="15"/>
      <c r="Y47" s="18"/>
      <c r="Z47" s="18"/>
      <c r="AA47" s="18"/>
      <c r="AB47" s="15"/>
      <c r="AC47" s="17"/>
      <c r="AD47" s="18"/>
      <c r="AE47" s="12" t="s">
        <v>44</v>
      </c>
      <c r="AF47" s="25"/>
      <c r="AG47" s="26">
        <f t="shared" ref="AG47" si="169">AF47+AF48</f>
      </c>
      <c r="AH47" s="26">
        <f t="shared" ref="AH47" si="170">(K47*L48)*10000</f>
      </c>
      <c r="AI47" s="26">
        <f t="shared" ref="AI47" si="171">AH47+AG47</f>
      </c>
      <c r="AJ47" s="26">
        <v>0</v>
      </c>
      <c r="AK47" s="26">
        <f t="shared" ref="AK47" si="172">AI47-AJ47</f>
      </c>
      <c r="AL47" s="12">
        <f t="shared" ref="AL47" si="173">U47</f>
      </c>
      <c r="AM47" s="13">
        <f t="shared" ref="AM47" si="174">I47</f>
      </c>
    </row>
    <row r="48" ht="24.95" customHeight="1" spans="1:39" x14ac:dyDescent="0.25">
      <c r="A48" s="15"/>
      <c r="B48" s="27"/>
      <c r="C48" s="17"/>
      <c r="D48" s="15"/>
      <c r="E48" s="15"/>
      <c r="F48" s="15"/>
      <c r="G48" s="18"/>
      <c r="H48" s="17"/>
      <c r="I48" s="18"/>
      <c r="J48" s="18"/>
      <c r="K48" s="15"/>
      <c r="L48" s="28">
        <f t="shared" ref="L48" si="175">O47-L47</f>
      </c>
      <c r="M48" s="28"/>
      <c r="N48" s="28"/>
      <c r="O48" s="20" t="s">
        <v>47</v>
      </c>
      <c r="P48" s="20"/>
      <c r="Q48" s="12" t="s">
        <v>45</v>
      </c>
      <c r="R48" s="22"/>
      <c r="S48" s="23"/>
      <c r="T48" s="24"/>
      <c r="U48" s="15"/>
      <c r="V48" s="15"/>
      <c r="W48" s="15"/>
      <c r="X48" s="15"/>
      <c r="Y48" s="18"/>
      <c r="Z48" s="18"/>
      <c r="AA48" s="18"/>
      <c r="AB48" s="15"/>
      <c r="AC48" s="17"/>
      <c r="AD48" s="18"/>
      <c r="AE48" s="12" t="s">
        <v>46</v>
      </c>
      <c r="AF48" s="25"/>
      <c r="AG48" s="26"/>
      <c r="AH48" s="26"/>
      <c r="AI48" s="26"/>
      <c r="AJ48" s="26"/>
      <c r="AK48" s="26"/>
      <c r="AL48" s="12"/>
      <c r="AM48" s="13"/>
    </row>
    <row r="49" ht="24.95" customHeight="1" spans="1:39" x14ac:dyDescent="0.25">
      <c r="A49" s="15"/>
      <c r="B49" s="16"/>
      <c r="C49" s="17"/>
      <c r="D49" s="15"/>
      <c r="E49" s="15"/>
      <c r="F49" s="15"/>
      <c r="G49" s="18"/>
      <c r="H49" s="17"/>
      <c r="I49" s="18"/>
      <c r="J49" s="18"/>
      <c r="K49" s="15"/>
      <c r="L49" s="19"/>
      <c r="M49" s="20" t="s">
        <v>40</v>
      </c>
      <c r="N49" s="20" t="s">
        <v>41</v>
      </c>
      <c r="O49" s="20"/>
      <c r="P49" s="21" t="s">
        <v>40</v>
      </c>
      <c r="Q49" s="12" t="s">
        <v>42</v>
      </c>
      <c r="R49" s="22"/>
      <c r="S49" s="23" t="e">
        <f t="shared" ref="S49" si="176">(R50/R49)*1000000</f>
        <v>#DIV/0!</v>
      </c>
      <c r="T49" s="24" t="s">
        <v>43</v>
      </c>
      <c r="U49" s="15"/>
      <c r="V49" s="15"/>
      <c r="W49" s="15"/>
      <c r="X49" s="15"/>
      <c r="Y49" s="18"/>
      <c r="Z49" s="18"/>
      <c r="AA49" s="18"/>
      <c r="AB49" s="15"/>
      <c r="AC49" s="17"/>
      <c r="AD49" s="18"/>
      <c r="AE49" s="12" t="s">
        <v>44</v>
      </c>
      <c r="AF49" s="25"/>
      <c r="AG49" s="26">
        <f t="shared" ref="AG49" si="177">AF49+AF50</f>
      </c>
      <c r="AH49" s="26">
        <f t="shared" ref="AH49" si="178">(K49*L50)*10000</f>
      </c>
      <c r="AI49" s="26">
        <f t="shared" ref="AI49" si="179">AH49+AG49</f>
      </c>
      <c r="AJ49" s="26">
        <v>0</v>
      </c>
      <c r="AK49" s="26">
        <f t="shared" ref="AK49" si="180">AI49-AJ49</f>
      </c>
      <c r="AL49" s="12">
        <f t="shared" ref="AL49" si="181">U49</f>
      </c>
      <c r="AM49" s="13">
        <f t="shared" ref="AM49" si="182">I49</f>
      </c>
    </row>
    <row r="50" ht="24.95" customHeight="1" spans="1:39" x14ac:dyDescent="0.25">
      <c r="A50" s="15"/>
      <c r="B50" s="27"/>
      <c r="C50" s="17"/>
      <c r="D50" s="15"/>
      <c r="E50" s="15"/>
      <c r="F50" s="15"/>
      <c r="G50" s="18"/>
      <c r="H50" s="17"/>
      <c r="I50" s="18"/>
      <c r="J50" s="18"/>
      <c r="K50" s="15"/>
      <c r="L50" s="28">
        <f t="shared" ref="L50" si="183">O49-L49</f>
      </c>
      <c r="M50" s="28"/>
      <c r="N50" s="28"/>
      <c r="O50" s="20" t="s">
        <v>47</v>
      </c>
      <c r="P50" s="20"/>
      <c r="Q50" s="12" t="s">
        <v>45</v>
      </c>
      <c r="R50" s="22"/>
      <c r="S50" s="23"/>
      <c r="T50" s="24"/>
      <c r="U50" s="15"/>
      <c r="V50" s="15"/>
      <c r="W50" s="15"/>
      <c r="X50" s="15"/>
      <c r="Y50" s="18"/>
      <c r="Z50" s="18"/>
      <c r="AA50" s="18"/>
      <c r="AB50" s="15"/>
      <c r="AC50" s="17"/>
      <c r="AD50" s="18"/>
      <c r="AE50" s="12" t="s">
        <v>46</v>
      </c>
      <c r="AF50" s="25"/>
      <c r="AG50" s="26"/>
      <c r="AH50" s="26"/>
      <c r="AI50" s="26"/>
      <c r="AJ50" s="26"/>
      <c r="AK50" s="26"/>
      <c r="AL50" s="12"/>
      <c r="AM50" s="13"/>
    </row>
    <row r="51" ht="24.95" customHeight="1" spans="1:39" x14ac:dyDescent="0.25">
      <c r="A51" s="15"/>
      <c r="B51" s="16"/>
      <c r="C51" s="17"/>
      <c r="D51" s="15"/>
      <c r="E51" s="15"/>
      <c r="F51" s="15"/>
      <c r="G51" s="18"/>
      <c r="H51" s="17"/>
      <c r="I51" s="18"/>
      <c r="J51" s="18"/>
      <c r="K51" s="15"/>
      <c r="L51" s="19"/>
      <c r="M51" s="20" t="s">
        <v>40</v>
      </c>
      <c r="N51" s="20" t="s">
        <v>41</v>
      </c>
      <c r="O51" s="20"/>
      <c r="P51" s="21" t="s">
        <v>40</v>
      </c>
      <c r="Q51" s="12" t="s">
        <v>42</v>
      </c>
      <c r="R51" s="22"/>
      <c r="S51" s="23" t="e">
        <f t="shared" ref="S51" si="184">(R52/R51)*1000000</f>
        <v>#DIV/0!</v>
      </c>
      <c r="T51" s="24" t="s">
        <v>43</v>
      </c>
      <c r="U51" s="15"/>
      <c r="V51" s="15"/>
      <c r="W51" s="15"/>
      <c r="X51" s="15"/>
      <c r="Y51" s="18"/>
      <c r="Z51" s="18"/>
      <c r="AA51" s="18"/>
      <c r="AB51" s="15"/>
      <c r="AC51" s="17"/>
      <c r="AD51" s="18"/>
      <c r="AE51" s="12" t="s">
        <v>44</v>
      </c>
      <c r="AF51" s="25"/>
      <c r="AG51" s="26">
        <f t="shared" ref="AG51" si="185">AF51+AF52</f>
      </c>
      <c r="AH51" s="26">
        <f t="shared" ref="AH51" si="186">(K51*L52)*10000</f>
      </c>
      <c r="AI51" s="26">
        <f t="shared" ref="AI51" si="187">AH51+AG51</f>
      </c>
      <c r="AJ51" s="26">
        <v>0</v>
      </c>
      <c r="AK51" s="26">
        <f t="shared" ref="AK51" si="188">AI51-AJ51</f>
      </c>
      <c r="AL51" s="12">
        <f t="shared" ref="AL51" si="189">U51</f>
      </c>
      <c r="AM51" s="13">
        <f t="shared" ref="AM51" si="190">I51</f>
      </c>
    </row>
    <row r="52" ht="24.95" customHeight="1" spans="1:39" x14ac:dyDescent="0.25">
      <c r="A52" s="15"/>
      <c r="B52" s="27"/>
      <c r="C52" s="17"/>
      <c r="D52" s="15"/>
      <c r="E52" s="15"/>
      <c r="F52" s="15"/>
      <c r="G52" s="18"/>
      <c r="H52" s="17"/>
      <c r="I52" s="18"/>
      <c r="J52" s="18"/>
      <c r="K52" s="15"/>
      <c r="L52" s="28">
        <f t="shared" ref="L52" si="191">O51-L51</f>
      </c>
      <c r="M52" s="28"/>
      <c r="N52" s="28"/>
      <c r="O52" s="20" t="s">
        <v>47</v>
      </c>
      <c r="P52" s="20"/>
      <c r="Q52" s="12" t="s">
        <v>45</v>
      </c>
      <c r="R52" s="22"/>
      <c r="S52" s="23"/>
      <c r="T52" s="24"/>
      <c r="U52" s="15"/>
      <c r="V52" s="15"/>
      <c r="W52" s="15"/>
      <c r="X52" s="15"/>
      <c r="Y52" s="18"/>
      <c r="Z52" s="18"/>
      <c r="AA52" s="18"/>
      <c r="AB52" s="15"/>
      <c r="AC52" s="17"/>
      <c r="AD52" s="18"/>
      <c r="AE52" s="12" t="s">
        <v>46</v>
      </c>
      <c r="AF52" s="25"/>
      <c r="AG52" s="26"/>
      <c r="AH52" s="26"/>
      <c r="AI52" s="26"/>
      <c r="AJ52" s="26"/>
      <c r="AK52" s="26"/>
      <c r="AL52" s="12"/>
      <c r="AM52" s="13"/>
    </row>
    <row r="53" ht="24.95" customHeight="1" spans="1:39" x14ac:dyDescent="0.25">
      <c r="A53" s="29" t="s">
        <v>48</v>
      </c>
      <c r="B53" s="29"/>
      <c r="C53" s="29"/>
      <c r="D53" s="29"/>
      <c r="E53" s="29"/>
      <c r="F53" s="29"/>
      <c r="G53" s="29"/>
      <c r="H53" s="29"/>
      <c r="I53" s="29"/>
      <c r="J53" s="29"/>
      <c r="K53" s="30">
        <f>SUM(K5:K52)</f>
      </c>
      <c r="L53" s="31" t="e">
        <f>L6+L8+L10+L12+L14+L16+L18+L20+L22+L24+L26+L28+L30+L32+L34+L50+L52+#REF!+#REF!+#REF!</f>
        <v>#REF!</v>
      </c>
      <c r="M53" s="31"/>
      <c r="N53" s="31"/>
      <c r="O53" s="32" t="s">
        <v>47</v>
      </c>
      <c r="P53" s="32"/>
      <c r="Q53" s="29"/>
      <c r="R53" s="29"/>
      <c r="S53" s="31"/>
      <c r="T53" s="31"/>
      <c r="U53" s="30"/>
      <c r="V53" s="30"/>
      <c r="W53" s="30"/>
      <c r="X53" s="30"/>
      <c r="Y53" s="30"/>
      <c r="Z53" s="30"/>
      <c r="AA53" s="30"/>
      <c r="AB53" s="30"/>
      <c r="AC53" s="33"/>
      <c r="AD53" s="30"/>
      <c r="AE53" s="29"/>
      <c r="AF53" s="29"/>
      <c r="AG53" s="34">
        <f>SUM(AG5:AG52)</f>
      </c>
      <c r="AH53" s="34">
        <f>SUM(AH5:AH52)</f>
      </c>
      <c r="AI53" s="34">
        <f>SUM(AI5:AI52)</f>
      </c>
      <c r="AJ53" s="34">
        <f>SUM(AJ5:AJ52)</f>
      </c>
      <c r="AK53" s="34">
        <f>AI53-AJ53</f>
      </c>
      <c r="AL53" s="12"/>
      <c r="AM53" s="13"/>
    </row>
    <row r="54" ht="24.95" customHeight="1" spans="1:39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30"/>
      <c r="L54" s="31"/>
      <c r="M54" s="31"/>
      <c r="N54" s="31"/>
      <c r="O54" s="32"/>
      <c r="P54" s="32"/>
      <c r="Q54" s="29"/>
      <c r="R54" s="29"/>
      <c r="S54" s="31"/>
      <c r="T54" s="31"/>
      <c r="U54" s="30"/>
      <c r="V54" s="30"/>
      <c r="W54" s="30"/>
      <c r="X54" s="30"/>
      <c r="Y54" s="30"/>
      <c r="Z54" s="30"/>
      <c r="AA54" s="30"/>
      <c r="AB54" s="30"/>
      <c r="AC54" s="33"/>
      <c r="AD54" s="30"/>
      <c r="AE54" s="29"/>
      <c r="AF54" s="29"/>
      <c r="AG54" s="34"/>
      <c r="AH54" s="34"/>
      <c r="AI54" s="34"/>
      <c r="AJ54" s="34"/>
      <c r="AK54" s="34"/>
      <c r="AL54" s="12"/>
      <c r="AM54" s="13"/>
    </row>
  </sheetData>
  <mergeCells count="805">
    <mergeCell ref="A1:K1"/>
    <mergeCell ref="C2:G2"/>
    <mergeCell ref="H2:K2"/>
    <mergeCell ref="L2:T2"/>
    <mergeCell ref="U2:Z2"/>
    <mergeCell ref="AB2:AD2"/>
    <mergeCell ref="AE2:AI2"/>
    <mergeCell ref="AJ2:AK2"/>
    <mergeCell ref="A2:A4"/>
    <mergeCell ref="B2:B4"/>
    <mergeCell ref="L3:P4"/>
    <mergeCell ref="Q3:R4"/>
    <mergeCell ref="S3:T4"/>
    <mergeCell ref="Y3:Z3"/>
    <mergeCell ref="AE3:AG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U3:U4"/>
    <mergeCell ref="V3:V4"/>
    <mergeCell ref="W3:W4"/>
    <mergeCell ref="X3:X4"/>
    <mergeCell ref="AA3:AA4"/>
    <mergeCell ref="AB3:AB4"/>
    <mergeCell ref="AD3:AD4"/>
    <mergeCell ref="AH3:AH4"/>
    <mergeCell ref="AI3:AI4"/>
    <mergeCell ref="AJ3:AJ4"/>
    <mergeCell ref="AK3:AK4"/>
    <mergeCell ref="AL3:AL4"/>
    <mergeCell ref="AM3:AM4"/>
    <mergeCell ref="A5:A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6:N6"/>
    <mergeCell ref="O6:P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G5:AG6"/>
    <mergeCell ref="AH5:AH6"/>
    <mergeCell ref="AI5:AI6"/>
    <mergeCell ref="AJ5:AJ6"/>
    <mergeCell ref="AK5:AK6"/>
    <mergeCell ref="AL5:AL6"/>
    <mergeCell ref="AM5:AM6"/>
    <mergeCell ref="A7:A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8:N8"/>
    <mergeCell ref="O8:P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G7:AG8"/>
    <mergeCell ref="AH7:AH8"/>
    <mergeCell ref="AI7:AI8"/>
    <mergeCell ref="AJ7:AJ8"/>
    <mergeCell ref="AK7:AK8"/>
    <mergeCell ref="AL7:AL8"/>
    <mergeCell ref="AM7:AM8"/>
    <mergeCell ref="A9:A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10:N10"/>
    <mergeCell ref="O10:P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G9:AG10"/>
    <mergeCell ref="AH9:AH10"/>
    <mergeCell ref="AI9:AI10"/>
    <mergeCell ref="AJ9:AJ10"/>
    <mergeCell ref="AK9:AK10"/>
    <mergeCell ref="AL9:AL10"/>
    <mergeCell ref="AM9:AM10"/>
    <mergeCell ref="A11:A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2:N12"/>
    <mergeCell ref="O12:P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G11:AG12"/>
    <mergeCell ref="AH11:AH12"/>
    <mergeCell ref="AI11:AI12"/>
    <mergeCell ref="AJ11:AJ12"/>
    <mergeCell ref="AK11:AK12"/>
    <mergeCell ref="AL11:AL12"/>
    <mergeCell ref="AM11:AM12"/>
    <mergeCell ref="A13:A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4:N14"/>
    <mergeCell ref="O14:P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G13:AG14"/>
    <mergeCell ref="AH13:AH14"/>
    <mergeCell ref="AI13:AI14"/>
    <mergeCell ref="AJ13:AJ14"/>
    <mergeCell ref="AK13:AK14"/>
    <mergeCell ref="AL13:AL14"/>
    <mergeCell ref="AM13:AM14"/>
    <mergeCell ref="A15:A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6:N16"/>
    <mergeCell ref="O16:P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G15:AG16"/>
    <mergeCell ref="AH15:AH16"/>
    <mergeCell ref="AI15:AI16"/>
    <mergeCell ref="AJ15:AJ16"/>
    <mergeCell ref="AK15:AK16"/>
    <mergeCell ref="AL15:AL16"/>
    <mergeCell ref="AM15:AM16"/>
    <mergeCell ref="A17:A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8:N18"/>
    <mergeCell ref="O18:P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G17:AG18"/>
    <mergeCell ref="AH17:AH18"/>
    <mergeCell ref="AI17:AI18"/>
    <mergeCell ref="AJ17:AJ18"/>
    <mergeCell ref="AK17:AK18"/>
    <mergeCell ref="AL17:AL18"/>
    <mergeCell ref="AM17:AM18"/>
    <mergeCell ref="A19:A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20:N20"/>
    <mergeCell ref="O20:P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G19:AG20"/>
    <mergeCell ref="AH19:AH20"/>
    <mergeCell ref="AI19:AI20"/>
    <mergeCell ref="AJ19:AJ20"/>
    <mergeCell ref="AK19:AK20"/>
    <mergeCell ref="AL19:AL20"/>
    <mergeCell ref="AM19:AM20"/>
    <mergeCell ref="A21:A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2:N22"/>
    <mergeCell ref="O22:P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G21:AG22"/>
    <mergeCell ref="AH21:AH22"/>
    <mergeCell ref="AI21:AI22"/>
    <mergeCell ref="AJ21:AJ22"/>
    <mergeCell ref="AK21:AK22"/>
    <mergeCell ref="AL21:AL22"/>
    <mergeCell ref="AM21:AM22"/>
    <mergeCell ref="A23:A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4:N24"/>
    <mergeCell ref="O24:P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G23:AG24"/>
    <mergeCell ref="AH23:AH24"/>
    <mergeCell ref="AI23:AI24"/>
    <mergeCell ref="AJ23:AJ24"/>
    <mergeCell ref="AK23:AK24"/>
    <mergeCell ref="AL23:AL24"/>
    <mergeCell ref="AM23:AM24"/>
    <mergeCell ref="A25:A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6:N26"/>
    <mergeCell ref="O26:P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AC25:AC26"/>
    <mergeCell ref="AD25:AD26"/>
    <mergeCell ref="AG25:AG26"/>
    <mergeCell ref="AH25:AH26"/>
    <mergeCell ref="AI25:AI26"/>
    <mergeCell ref="AJ25:AJ26"/>
    <mergeCell ref="AK25:AK26"/>
    <mergeCell ref="AL25:AL26"/>
    <mergeCell ref="AM25:AM26"/>
    <mergeCell ref="A27:A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8:N28"/>
    <mergeCell ref="O28:P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G27:AG28"/>
    <mergeCell ref="AH27:AH28"/>
    <mergeCell ref="AI27:AI28"/>
    <mergeCell ref="AJ27:AJ28"/>
    <mergeCell ref="AK27:AK28"/>
    <mergeCell ref="AL27:AL28"/>
    <mergeCell ref="AM27:AM28"/>
    <mergeCell ref="A29:A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30:N30"/>
    <mergeCell ref="O30:P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G29:AG30"/>
    <mergeCell ref="AH29:AH30"/>
    <mergeCell ref="AI29:AI30"/>
    <mergeCell ref="AJ29:AJ30"/>
    <mergeCell ref="AK29:AK30"/>
    <mergeCell ref="AL29:AL30"/>
    <mergeCell ref="AM29:AM30"/>
    <mergeCell ref="A31:A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2:N32"/>
    <mergeCell ref="O32:P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G31:AG32"/>
    <mergeCell ref="AH31:AH32"/>
    <mergeCell ref="AI31:AI32"/>
    <mergeCell ref="AJ31:AJ32"/>
    <mergeCell ref="AK31:AK32"/>
    <mergeCell ref="AL31:AL32"/>
    <mergeCell ref="AM31:AM32"/>
    <mergeCell ref="A33:A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4:N34"/>
    <mergeCell ref="O34:P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G33:AG34"/>
    <mergeCell ref="AH33:AH34"/>
    <mergeCell ref="AI33:AI34"/>
    <mergeCell ref="AJ33:AJ34"/>
    <mergeCell ref="AK33:AK34"/>
    <mergeCell ref="AL33:AL34"/>
    <mergeCell ref="AM33:AM34"/>
    <mergeCell ref="A35:A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6:N36"/>
    <mergeCell ref="O36:P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G35:AG36"/>
    <mergeCell ref="AH35:AH36"/>
    <mergeCell ref="AI35:AI36"/>
    <mergeCell ref="AJ35:AJ36"/>
    <mergeCell ref="AK35:AK36"/>
    <mergeCell ref="AL35:AL36"/>
    <mergeCell ref="AM35:AM36"/>
    <mergeCell ref="A37:A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8:N38"/>
    <mergeCell ref="O38:P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G37:AG38"/>
    <mergeCell ref="AH37:AH38"/>
    <mergeCell ref="AI37:AI38"/>
    <mergeCell ref="AJ37:AJ38"/>
    <mergeCell ref="AK37:AK38"/>
    <mergeCell ref="AL37:AL38"/>
    <mergeCell ref="AM37:AM38"/>
    <mergeCell ref="A39:A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40:N40"/>
    <mergeCell ref="O40:P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G39:AG40"/>
    <mergeCell ref="AH39:AH40"/>
    <mergeCell ref="AI39:AI40"/>
    <mergeCell ref="AJ39:AJ40"/>
    <mergeCell ref="AK39:AK40"/>
    <mergeCell ref="AL39:AL40"/>
    <mergeCell ref="AM39:AM40"/>
    <mergeCell ref="A41:A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2:N42"/>
    <mergeCell ref="O42:P42"/>
    <mergeCell ref="S41:S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B42"/>
    <mergeCell ref="AC41:AC42"/>
    <mergeCell ref="AD41:AD42"/>
    <mergeCell ref="AG41:AG42"/>
    <mergeCell ref="AH41:AH42"/>
    <mergeCell ref="AI41:AI42"/>
    <mergeCell ref="AJ41:AJ42"/>
    <mergeCell ref="AK41:AK42"/>
    <mergeCell ref="AL41:AL42"/>
    <mergeCell ref="AM41:AM42"/>
    <mergeCell ref="A43:A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4:N44"/>
    <mergeCell ref="O44:P44"/>
    <mergeCell ref="S43:S44"/>
    <mergeCell ref="T43:T44"/>
    <mergeCell ref="U43:U44"/>
    <mergeCell ref="V43:V44"/>
    <mergeCell ref="W43:W44"/>
    <mergeCell ref="X43:X44"/>
    <mergeCell ref="Y43:Y44"/>
    <mergeCell ref="Z43:Z44"/>
    <mergeCell ref="AA43:AA44"/>
    <mergeCell ref="AB43:AB44"/>
    <mergeCell ref="AC43:AC44"/>
    <mergeCell ref="AD43:AD44"/>
    <mergeCell ref="AG43:AG44"/>
    <mergeCell ref="AH43:AH44"/>
    <mergeCell ref="AI43:AI44"/>
    <mergeCell ref="AJ43:AJ44"/>
    <mergeCell ref="AK43:AK44"/>
    <mergeCell ref="AL43:AL44"/>
    <mergeCell ref="AM43:AM44"/>
    <mergeCell ref="A45:A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6:N46"/>
    <mergeCell ref="O46:P46"/>
    <mergeCell ref="S45:S46"/>
    <mergeCell ref="T45:T46"/>
    <mergeCell ref="U45:U46"/>
    <mergeCell ref="V45:V46"/>
    <mergeCell ref="W45:W46"/>
    <mergeCell ref="X45:X46"/>
    <mergeCell ref="Y45:Y46"/>
    <mergeCell ref="Z45:Z46"/>
    <mergeCell ref="AA45:AA46"/>
    <mergeCell ref="AB45:AB46"/>
    <mergeCell ref="AC45:AC46"/>
    <mergeCell ref="AD45:AD46"/>
    <mergeCell ref="AG45:AG46"/>
    <mergeCell ref="AH45:AH46"/>
    <mergeCell ref="AI45:AI46"/>
    <mergeCell ref="AJ45:AJ46"/>
    <mergeCell ref="AK45:AK46"/>
    <mergeCell ref="AL45:AL46"/>
    <mergeCell ref="AM45:AM46"/>
    <mergeCell ref="A47:A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8:N48"/>
    <mergeCell ref="O48:P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G47:AG48"/>
    <mergeCell ref="AH47:AH48"/>
    <mergeCell ref="AI47:AI48"/>
    <mergeCell ref="AJ47:AJ48"/>
    <mergeCell ref="AK47:AK48"/>
    <mergeCell ref="AL47:AL48"/>
    <mergeCell ref="AM47:AM48"/>
    <mergeCell ref="A49:A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50:N50"/>
    <mergeCell ref="O50:P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G49:AG50"/>
    <mergeCell ref="AH49:AH50"/>
    <mergeCell ref="AI49:AI50"/>
    <mergeCell ref="AJ49:AJ50"/>
    <mergeCell ref="AK49:AK50"/>
    <mergeCell ref="AL49:AL50"/>
    <mergeCell ref="AM49:AM50"/>
    <mergeCell ref="A51:A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2:N52"/>
    <mergeCell ref="O52:P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B52"/>
    <mergeCell ref="AC51:AC52"/>
    <mergeCell ref="AD51:AD52"/>
    <mergeCell ref="AG51:AG52"/>
    <mergeCell ref="AH51:AH52"/>
    <mergeCell ref="AI51:AI52"/>
    <mergeCell ref="AJ51:AJ52"/>
    <mergeCell ref="AK51:AK52"/>
    <mergeCell ref="AL51:AL52"/>
    <mergeCell ref="AM51:AM52"/>
    <mergeCell ref="A53:J54"/>
    <mergeCell ref="L53:N54"/>
    <mergeCell ref="O53:P54"/>
    <mergeCell ref="Q53:R54"/>
    <mergeCell ref="S53:T54"/>
    <mergeCell ref="AE53:AF54"/>
    <mergeCell ref="K53:K54"/>
    <mergeCell ref="U53:U54"/>
    <mergeCell ref="V53:V54"/>
    <mergeCell ref="W53:W54"/>
    <mergeCell ref="X53:X54"/>
    <mergeCell ref="Y53:Y54"/>
    <mergeCell ref="Z53:Z54"/>
    <mergeCell ref="AA53:AA54"/>
    <mergeCell ref="AB53:AB54"/>
    <mergeCell ref="AC53:AC54"/>
    <mergeCell ref="AD53:AD54"/>
    <mergeCell ref="AG53:AG54"/>
    <mergeCell ref="AH53:AH54"/>
    <mergeCell ref="AI53:AI54"/>
    <mergeCell ref="AJ53:AJ54"/>
    <mergeCell ref="AK53:AK54"/>
    <mergeCell ref="AL53:AL54"/>
    <mergeCell ref="AM53:AM54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3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